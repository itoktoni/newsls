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ka\web\docs\"/>
    </mc:Choice>
  </mc:AlternateContent>
  <xr:revisionPtr revIDLastSave="0" documentId="8_{812A95F6-3636-4187-9937-896ABED4B107}" xr6:coauthVersionLast="47" xr6:coauthVersionMax="47" xr10:uidLastSave="{00000000-0000-0000-0000-000000000000}"/>
  <bookViews>
    <workbookView xWindow="-120" yWindow="-120" windowWidth="29040" windowHeight="15840" xr2:uid="{834106B1-450C-4D5F-93E0-DA9AD1A180B8}"/>
  </bookViews>
  <sheets>
    <sheet name="Opname Summary IDEAL" sheetId="2" r:id="rId1"/>
    <sheet name="REKAP GUDANG TRANSI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2" l="1"/>
  <c r="BM6" i="4"/>
  <c r="BL6" i="4"/>
  <c r="BN6" i="4" s="1"/>
  <c r="N9" i="2"/>
  <c r="N10" i="2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</calcChain>
</file>

<file path=xl/sharedStrings.xml><?xml version="1.0" encoding="utf-8"?>
<sst xmlns="http://schemas.openxmlformats.org/spreadsheetml/2006/main" count="284" uniqueCount="184">
  <si>
    <t xml:space="preserve">REPORT OPNAME SUMMARY </t>
  </si>
  <si>
    <t>OPNAME ID : 121</t>
  </si>
  <si>
    <t>RUMAH SAKIT : RS PREMIER BINTARO</t>
  </si>
  <si>
    <t>Periode : 23/08/2026 - 23/09/2026</t>
  </si>
  <si>
    <t>No.</t>
  </si>
  <si>
    <t>TANGGAL</t>
  </si>
  <si>
    <t>REGISTER</t>
  </si>
  <si>
    <t>SCAN LINEN</t>
  </si>
  <si>
    <t>SAAT SO</t>
  </si>
  <si>
    <t>BELUM</t>
  </si>
  <si>
    <t>TERBACA</t>
  </si>
  <si>
    <t>SAAT SO DI RS</t>
  </si>
  <si>
    <t>LINEN MASIH</t>
  </si>
  <si>
    <t>DALAM PROSES</t>
  </si>
  <si>
    <t>DI LAUNDRY</t>
  </si>
  <si>
    <t>TOTAL OPNAME</t>
  </si>
  <si>
    <t>LINEN BERCHIP</t>
  </si>
  <si>
    <t>YANG TIDAK</t>
  </si>
  <si>
    <t>TERINDENTIFIKASI</t>
  </si>
  <si>
    <t>23/08/2026</t>
  </si>
  <si>
    <t>24/08/2026</t>
  </si>
  <si>
    <t>25/08/2026</t>
  </si>
  <si>
    <t>26/08/2026</t>
  </si>
  <si>
    <t>27/08/2026</t>
  </si>
  <si>
    <t>28/08/2026</t>
  </si>
  <si>
    <t>29/08/2026</t>
  </si>
  <si>
    <t>30/08/2026</t>
  </si>
  <si>
    <t>31/08/2026</t>
  </si>
  <si>
    <t>13/09/2026</t>
  </si>
  <si>
    <t>15/09/2026</t>
  </si>
  <si>
    <t>16/09/2026</t>
  </si>
  <si>
    <t>17/09/2026</t>
  </si>
  <si>
    <t>18/09/2026</t>
  </si>
  <si>
    <t>20/09/2026</t>
  </si>
  <si>
    <t>21/09/2026</t>
  </si>
  <si>
    <t>22/09/2026</t>
  </si>
  <si>
    <t>23/09/2026</t>
  </si>
  <si>
    <t>Total</t>
  </si>
  <si>
    <t>Cisauk, 24 September 2026</t>
  </si>
  <si>
    <t>Denny Rahfinaldi</t>
  </si>
  <si>
    <t>existing</t>
  </si>
  <si>
    <t>harapan</t>
  </si>
  <si>
    <t>REKAP GUDANG TRANSIT</t>
  </si>
  <si>
    <t>RUMAH SAKIT : XXXXXXX</t>
  </si>
  <si>
    <t>Periode : 01/09/2026 - 30/09/2026</t>
  </si>
  <si>
    <t>Nama Linen</t>
  </si>
  <si>
    <t>Saldo Awal Akhir bulan Lalu</t>
  </si>
  <si>
    <t>TOTAL</t>
  </si>
  <si>
    <t>Saldo Awal Akhir bulan ini</t>
  </si>
  <si>
    <t>in</t>
  </si>
  <si>
    <t>Out</t>
  </si>
  <si>
    <t>In</t>
  </si>
  <si>
    <t>BAJU MRI JUMBO</t>
  </si>
  <si>
    <t>*) HARUS ADA MINIMUM STOCK YANG DIJAGA</t>
  </si>
  <si>
    <t>BAJU KALONG</t>
  </si>
  <si>
    <t>SEJUMLAH BERAPA PCS PER JENIS LINEN</t>
  </si>
  <si>
    <t>BAJU KODOK JUMBO, BIRU</t>
  </si>
  <si>
    <t>BILA BATAS MINIMUM SYSTEM TIDAK BISA DELIVERY</t>
  </si>
  <si>
    <t>BAJU KODOK JUMBO, PINK</t>
  </si>
  <si>
    <t>BAJU KODOK, BIRU</t>
  </si>
  <si>
    <t>BAJU KODOK, PINK</t>
  </si>
  <si>
    <t>BAJU MCU ANAK L</t>
  </si>
  <si>
    <t>BAJU MCU ANAK M</t>
  </si>
  <si>
    <t>BAJU MCU ANAK S</t>
  </si>
  <si>
    <t>BAJU MCU ANAK XL</t>
  </si>
  <si>
    <t>BAJU MCU JUMBO</t>
  </si>
  <si>
    <t>BAJU MCU L</t>
  </si>
  <si>
    <t>BAJU MCU M</t>
  </si>
  <si>
    <t>BAJU MCU XL</t>
  </si>
  <si>
    <t>BAJU MCU XXL</t>
  </si>
  <si>
    <t>BAJU MCU XXXL</t>
  </si>
  <si>
    <t>BAJU MCU XXXXL</t>
  </si>
  <si>
    <t>BAJU MRI BIRU, L</t>
  </si>
  <si>
    <t>BAJU MRI BIRU, M</t>
  </si>
  <si>
    <t>BAJU MRI BIRU, XL</t>
  </si>
  <si>
    <t>BAJU MRI BIRU, XXL</t>
  </si>
  <si>
    <t>BAJU OK BIRU L</t>
  </si>
  <si>
    <t>BAJU OK BIRU M</t>
  </si>
  <si>
    <t>BAJU OK BIRU XL</t>
  </si>
  <si>
    <t>BAJU OK BIRU XXL</t>
  </si>
  <si>
    <t>BAJU OK HIJAU XL</t>
  </si>
  <si>
    <t>BAJU OK HIJAU XXL</t>
  </si>
  <si>
    <t>BAJU OK ORANGE L</t>
  </si>
  <si>
    <t>BAJU OK ORANGE M</t>
  </si>
  <si>
    <t>BAJU OK ORANGE XL</t>
  </si>
  <si>
    <t>BAJU OK ORANGE XXL</t>
  </si>
  <si>
    <t>BAJU OK TAMU L</t>
  </si>
  <si>
    <t>BAJU OK TAMU M</t>
  </si>
  <si>
    <t>BAJU OK TAMU XL</t>
  </si>
  <si>
    <t>BAJU OK TAMU XXL</t>
  </si>
  <si>
    <t>BAJU PIYAMA VIP XXXL</t>
  </si>
  <si>
    <t>BAJU PIYAMA VIP, PB</t>
  </si>
  <si>
    <t>BED COVER ANAK</t>
  </si>
  <si>
    <t>BEDONG BIRU MOTIF</t>
  </si>
  <si>
    <t>BEDONG MOTIF OK</t>
  </si>
  <si>
    <t>BEDONG PINK MOTIF</t>
  </si>
  <si>
    <t>CELANA MCU JUMBO</t>
  </si>
  <si>
    <t>CELANA MRI JUMBO</t>
  </si>
  <si>
    <t>CELANA BOLONG RO</t>
  </si>
  <si>
    <t>CELANA MCU ANAK L</t>
  </si>
  <si>
    <t>CELANA MCU ANAK M</t>
  </si>
  <si>
    <t>CELANA MCU ANAK S</t>
  </si>
  <si>
    <t>CELANA MCU ANAK XL</t>
  </si>
  <si>
    <t>CELANA MCU L</t>
  </si>
  <si>
    <t>CELANA MCU M</t>
  </si>
  <si>
    <t>CELANA MCU XL</t>
  </si>
  <si>
    <t>CELANA MCU XXL</t>
  </si>
  <si>
    <t>CELANA MCU XXXL</t>
  </si>
  <si>
    <t>CELANA MCU XXXXL</t>
  </si>
  <si>
    <t>CELANA MRI BIRU, L</t>
  </si>
  <si>
    <t>CELANA MRI BIRU, M</t>
  </si>
  <si>
    <t>CELANA MRI BIRU, XL</t>
  </si>
  <si>
    <t>CELANA MRI BIRU, XXL</t>
  </si>
  <si>
    <t>CELANA OK BIRU L</t>
  </si>
  <si>
    <t>CELANA OK BIRU M</t>
  </si>
  <si>
    <t>CELANA OK BIRU XL</t>
  </si>
  <si>
    <t>CELANA OK BIRU XXL</t>
  </si>
  <si>
    <t>CELANA OK HIJAU XL</t>
  </si>
  <si>
    <t>CELANA OK HIJAU XXL</t>
  </si>
  <si>
    <t>CELANA OK ORANGE L</t>
  </si>
  <si>
    <t>CELANA OK ORANGE M</t>
  </si>
  <si>
    <t>CELANA OK ORANGE XL</t>
  </si>
  <si>
    <t>CELANA OK ORANGE XXL</t>
  </si>
  <si>
    <t>CELANA OK TAMU L</t>
  </si>
  <si>
    <t>CELANA OK TAMU M</t>
  </si>
  <si>
    <t>CELANA OK TAMU XL</t>
  </si>
  <si>
    <t>CELANA OK TAMU XXL</t>
  </si>
  <si>
    <t>CELANA PIYAMA VIP XXXL</t>
  </si>
  <si>
    <t>CELANA PIYAMA VIP, PB</t>
  </si>
  <si>
    <t>DUK 1,5 X 1</t>
  </si>
  <si>
    <t>DUK 2,4 X 1,5</t>
  </si>
  <si>
    <t>DUK 2,4 X 2 ( DOUBLE )</t>
  </si>
  <si>
    <t>DUK 60 X 75 (0,5)</t>
  </si>
  <si>
    <t>DUK CATETER</t>
  </si>
  <si>
    <t>DUK LUBANG , ANGIO</t>
  </si>
  <si>
    <t>DUK LUBANG , HIJAU</t>
  </si>
  <si>
    <t>DUK RF</t>
  </si>
  <si>
    <t>HANDUK FULL TOWEL</t>
  </si>
  <si>
    <t>HANDUK PUTIH PASIEN</t>
  </si>
  <si>
    <t>HANDUK BAYI</t>
  </si>
  <si>
    <t>JAS LAB L</t>
  </si>
  <si>
    <t>JAS LAB M</t>
  </si>
  <si>
    <t>JAS LAB XL</t>
  </si>
  <si>
    <t>JAS LAB XXL</t>
  </si>
  <si>
    <t>JAS OK</t>
  </si>
  <si>
    <t>KESET COKLAT</t>
  </si>
  <si>
    <t>KIMONO ENDOSCOPY</t>
  </si>
  <si>
    <t>KIMONO PEACH</t>
  </si>
  <si>
    <t>LAP ALAT, BIRU</t>
  </si>
  <si>
    <t>PERLAK OK , BIRU</t>
  </si>
  <si>
    <t>PERLAK SAYAP, PB</t>
  </si>
  <si>
    <t>SPREI KERUT LOTUS</t>
  </si>
  <si>
    <t>SARUNG BANTAL</t>
  </si>
  <si>
    <t>SARUNG GULING</t>
  </si>
  <si>
    <t>SARUNG GULING VIP</t>
  </si>
  <si>
    <t>SARUNG MAYO</t>
  </si>
  <si>
    <t>SARUNG BANTAL VIP, GARIS</t>
  </si>
  <si>
    <t>SELIMUT LUAR BAYI BIRU</t>
  </si>
  <si>
    <t>SELIMUT LUAR BAYI PINK</t>
  </si>
  <si>
    <t>SELIMUT PUTIH VIP, GARIS</t>
  </si>
  <si>
    <t>SELIMUT PUTIH, PB</t>
  </si>
  <si>
    <t>SELIMUT TEBAL COKLAT</t>
  </si>
  <si>
    <t>SELIMUT WAFEL</t>
  </si>
  <si>
    <t>SKORT ANAK</t>
  </si>
  <si>
    <t>SKORT PASIEN</t>
  </si>
  <si>
    <t>SKORT PERAWAT , BIRU</t>
  </si>
  <si>
    <t>SKORT TANGGUNG , PUTIH</t>
  </si>
  <si>
    <t>SPREI</t>
  </si>
  <si>
    <t>SPREI BAYI, PB</t>
  </si>
  <si>
    <t>SPREI KERUT FLAMINGO</t>
  </si>
  <si>
    <t>SPREI KERUT IGD</t>
  </si>
  <si>
    <t>SPREI KERUT MCU</t>
  </si>
  <si>
    <t>SPREI KERUT POLI JASMINE</t>
  </si>
  <si>
    <t>SPREI KERUT RADIOLOGI</t>
  </si>
  <si>
    <t>SPREI KERUT SLEEP CLINIC</t>
  </si>
  <si>
    <t>SPREI KERUT TULIP</t>
  </si>
  <si>
    <t>SPREI VIP, GARIS</t>
  </si>
  <si>
    <t>STIK LAKEN</t>
  </si>
  <si>
    <t>STIK LAKEN VIP, GARIS</t>
  </si>
  <si>
    <t>TALI OK , HIJAU</t>
  </si>
  <si>
    <t>TEMPAT ALAT</t>
  </si>
  <si>
    <t>TOTAL DATA</t>
  </si>
  <si>
    <t>Cisauk, 23 September 2026</t>
  </si>
  <si>
    <t>REPORT OPNAME MUTASI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</si>
</sst>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11"/>
      <color rgb="FFFF0000"/>
      <name val="Aptos Narrow"/>
      <family val="2"/>
      <scheme val="minor"/>
    </font>
    <font>
      <b/>
      <sz val="9"/>
      <color theme="1"/>
      <name val="Arial"/>
      <family val="2"/>
    </font>
    <font>
      <sz val="8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wrapText="1"/>
    </xf>
    <xf numFmtId="0" fontId="20" fillId="0" borderId="0" xfId="0" applyFont="1" applyAlignment="1">
      <alignment wrapText="1"/>
    </xf>
    <xf numFmtId="0" fontId="19" fillId="0" borderId="0" xfId="0" applyFont="1" applyAlignment="1">
      <alignment wrapText="1"/>
    </xf>
    <xf numFmtId="0" fontId="20" fillId="33" borderId="10" xfId="0" applyFont="1" applyFill="1" applyBorder="1" applyAlignment="1">
      <alignment horizontal="left" vertical="center" wrapText="1"/>
    </xf>
    <xf numFmtId="0" fontId="20" fillId="33" borderId="11" xfId="0" applyFont="1" applyFill="1" applyBorder="1" applyAlignment="1">
      <alignment horizontal="left" vertical="center" wrapText="1"/>
    </xf>
    <xf numFmtId="0" fontId="20" fillId="33" borderId="12" xfId="0" applyFont="1" applyFill="1" applyBorder="1" applyAlignment="1">
      <alignment horizontal="left" vertical="center" wrapText="1"/>
    </xf>
    <xf numFmtId="0" fontId="20" fillId="33" borderId="13" xfId="0" applyFont="1" applyFill="1" applyBorder="1" applyAlignment="1">
      <alignment horizontal="left" vertical="center" wrapText="1"/>
    </xf>
    <xf numFmtId="0" fontId="21" fillId="0" borderId="10" xfId="0" applyFont="1" applyBorder="1" applyAlignment="1">
      <alignment wrapText="1"/>
    </xf>
    <xf numFmtId="14" fontId="21" fillId="0" borderId="10" xfId="0" applyNumberFormat="1" applyFont="1" applyBorder="1" applyAlignment="1">
      <alignment wrapText="1"/>
    </xf>
    <xf numFmtId="0" fontId="0" fillId="0" borderId="0" xfId="0" applyAlignment="1">
      <alignment vertical="top" wrapText="1"/>
    </xf>
    <xf numFmtId="0" fontId="19" fillId="0" borderId="0" xfId="0" applyFont="1"/>
    <xf numFmtId="0" fontId="20" fillId="0" borderId="0" xfId="0" applyFont="1"/>
    <xf numFmtId="0" fontId="23" fillId="33" borderId="14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21" fillId="0" borderId="10" xfId="0" applyFont="1" applyBorder="1" applyAlignment="1">
      <alignment horizontal="center" wrapText="1"/>
    </xf>
    <xf numFmtId="0" fontId="24" fillId="36" borderId="10" xfId="0" applyFont="1" applyFill="1" applyBorder="1" applyAlignment="1">
      <alignment horizontal="right" wrapText="1"/>
    </xf>
    <xf numFmtId="0" fontId="21" fillId="0" borderId="10" xfId="0" applyFont="1" applyBorder="1" applyAlignment="1">
      <alignment horizontal="right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3" fillId="33" borderId="17" xfId="0" applyFont="1" applyFill="1" applyBorder="1" applyAlignment="1">
      <alignment horizontal="center" vertical="center" wrapText="1"/>
    </xf>
    <xf numFmtId="0" fontId="23" fillId="33" borderId="18" xfId="0" applyFont="1" applyFill="1" applyBorder="1" applyAlignment="1">
      <alignment horizontal="center" vertical="center" wrapText="1"/>
    </xf>
    <xf numFmtId="0" fontId="21" fillId="0" borderId="14" xfId="0" applyFont="1" applyBorder="1" applyAlignment="1">
      <alignment wrapText="1"/>
    </xf>
    <xf numFmtId="0" fontId="21" fillId="0" borderId="19" xfId="0" applyFont="1" applyBorder="1" applyAlignment="1">
      <alignment wrapText="1"/>
    </xf>
    <xf numFmtId="0" fontId="21" fillId="0" borderId="15" xfId="0" applyFont="1" applyBorder="1" applyAlignment="1">
      <alignment wrapText="1"/>
    </xf>
    <xf numFmtId="0" fontId="0" fillId="0" borderId="16" xfId="0" applyBorder="1" applyAlignment="1">
      <alignment vertical="top" wrapText="1"/>
    </xf>
    <xf numFmtId="0" fontId="0" fillId="0" borderId="0" xfId="0" applyAlignment="1">
      <alignment wrapText="1"/>
    </xf>
    <xf numFmtId="0" fontId="20" fillId="0" borderId="0" xfId="0" applyFont="1" applyAlignment="1">
      <alignment wrapText="1"/>
    </xf>
    <xf numFmtId="0" fontId="19" fillId="0" borderId="0" xfId="0" applyFont="1" applyAlignment="1">
      <alignment wrapText="1"/>
    </xf>
    <xf numFmtId="0" fontId="22" fillId="34" borderId="0" xfId="0" applyFont="1" applyFill="1" applyAlignment="1">
      <alignment horizontal="center" wrapText="1"/>
    </xf>
    <xf numFmtId="0" fontId="20" fillId="33" borderId="11" xfId="0" applyFont="1" applyFill="1" applyBorder="1" applyAlignment="1">
      <alignment horizontal="left" vertical="center" wrapText="1"/>
    </xf>
    <xf numFmtId="0" fontId="20" fillId="33" borderId="12" xfId="0" applyFont="1" applyFill="1" applyBorder="1" applyAlignment="1">
      <alignment horizontal="left" vertical="center" wrapText="1"/>
    </xf>
    <xf numFmtId="0" fontId="20" fillId="33" borderId="13" xfId="0" applyFont="1" applyFill="1" applyBorder="1" applyAlignment="1">
      <alignment horizontal="left" vertical="center" wrapText="1"/>
    </xf>
    <xf numFmtId="0" fontId="22" fillId="35" borderId="0" xfId="0" applyFont="1" applyFill="1" applyAlignment="1">
      <alignment horizontal="center"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88DB5-35C2-498F-9E48-F230931F8BAF}">
  <dimension ref="A1:Q39"/>
  <sheetViews>
    <sheetView showGridLines="0" tabSelected="1" workbookViewId="0">
      <selection activeCell="N8" sqref="N8"/>
    </sheetView>
  </sheetViews>
  <sheetFormatPr defaultRowHeight="15" x14ac:dyDescent="0.25"/>
  <cols>
    <col min="1" max="1" width="6.85546875" customWidth="1"/>
    <col min="2" max="2" width="17.42578125" customWidth="1"/>
    <col min="3" max="3" width="10.28515625" bestFit="1" customWidth="1"/>
    <col min="4" max="4" width="12.140625" bestFit="1" customWidth="1"/>
    <col min="5" max="5" width="15" bestFit="1" customWidth="1"/>
    <col min="6" max="6" width="16" bestFit="1" customWidth="1"/>
    <col min="7" max="7" width="15.85546875" bestFit="1" customWidth="1"/>
    <col min="8" max="8" width="18.28515625" bestFit="1" customWidth="1"/>
    <col min="11" max="11" width="11.140625" customWidth="1"/>
    <col min="12" max="12" width="11.28515625" customWidth="1"/>
    <col min="13" max="13" width="11.140625" customWidth="1"/>
    <col min="14" max="14" width="10.85546875" customWidth="1"/>
    <col min="15" max="15" width="10.5703125" customWidth="1"/>
    <col min="16" max="16" width="10.85546875" customWidth="1"/>
    <col min="17" max="17" width="11.5703125" customWidth="1"/>
  </cols>
  <sheetData>
    <row r="1" spans="1:17" ht="15" customHeight="1" x14ac:dyDescent="0.25">
      <c r="A1" s="1"/>
      <c r="B1" s="12" t="s">
        <v>0</v>
      </c>
      <c r="C1" s="12"/>
      <c r="D1" s="12"/>
      <c r="E1" s="12"/>
      <c r="F1" s="12"/>
      <c r="G1" s="12"/>
      <c r="H1" s="34" t="s">
        <v>40</v>
      </c>
      <c r="J1" s="1"/>
      <c r="K1" s="12" t="s">
        <v>183</v>
      </c>
      <c r="L1" s="12"/>
      <c r="M1" s="12"/>
      <c r="N1" s="12"/>
      <c r="O1" s="12"/>
      <c r="P1" s="12"/>
      <c r="Q1" s="30" t="s">
        <v>41</v>
      </c>
    </row>
    <row r="2" spans="1:17" x14ac:dyDescent="0.25">
      <c r="A2" s="1"/>
      <c r="B2" s="11" t="s">
        <v>1</v>
      </c>
      <c r="C2" s="11"/>
      <c r="D2" s="11"/>
      <c r="E2" s="11"/>
      <c r="F2" s="11"/>
      <c r="G2" s="11"/>
      <c r="H2" s="34"/>
      <c r="J2" s="1"/>
      <c r="K2" s="11" t="s">
        <v>1</v>
      </c>
      <c r="L2" s="11"/>
      <c r="M2" s="11"/>
      <c r="N2" s="11"/>
      <c r="O2" s="11"/>
      <c r="P2" s="11"/>
      <c r="Q2" s="30"/>
    </row>
    <row r="3" spans="1:17" ht="15" customHeight="1" x14ac:dyDescent="0.25">
      <c r="A3" s="1"/>
      <c r="B3" s="11" t="s">
        <v>2</v>
      </c>
      <c r="C3" s="11"/>
      <c r="D3" s="11"/>
      <c r="E3" s="11"/>
      <c r="F3" s="11"/>
      <c r="G3" s="11"/>
      <c r="H3" s="34"/>
      <c r="J3" s="1"/>
      <c r="K3" s="11" t="s">
        <v>2</v>
      </c>
      <c r="L3" s="11"/>
      <c r="M3" s="11"/>
      <c r="N3" s="11"/>
      <c r="O3" s="11"/>
      <c r="P3" s="11"/>
      <c r="Q3" s="30"/>
    </row>
    <row r="4" spans="1:17" ht="15" customHeight="1" x14ac:dyDescent="0.25">
      <c r="A4" s="1"/>
      <c r="B4" s="11" t="s">
        <v>3</v>
      </c>
      <c r="C4" s="11"/>
      <c r="D4" s="11"/>
      <c r="E4" s="11"/>
      <c r="F4" s="11"/>
      <c r="G4" s="11"/>
      <c r="H4" s="11"/>
      <c r="I4" s="11"/>
      <c r="J4" s="1"/>
      <c r="K4" s="11" t="s">
        <v>3</v>
      </c>
      <c r="L4" s="11"/>
      <c r="M4" s="11"/>
      <c r="N4" s="11"/>
      <c r="O4" s="11"/>
      <c r="P4" s="11"/>
      <c r="Q4" s="11"/>
    </row>
    <row r="5" spans="1:17" ht="25.5" x14ac:dyDescent="0.25">
      <c r="A5" s="31" t="s">
        <v>4</v>
      </c>
      <c r="B5" s="31" t="s">
        <v>5</v>
      </c>
      <c r="C5" s="31" t="s">
        <v>6</v>
      </c>
      <c r="D5" s="5" t="s">
        <v>7</v>
      </c>
      <c r="E5" s="5" t="s">
        <v>9</v>
      </c>
      <c r="F5" s="5" t="s">
        <v>12</v>
      </c>
      <c r="G5" s="31" t="s">
        <v>15</v>
      </c>
      <c r="H5" s="5" t="s">
        <v>16</v>
      </c>
      <c r="J5" s="31" t="s">
        <v>4</v>
      </c>
      <c r="K5" s="31" t="s">
        <v>5</v>
      </c>
      <c r="L5" s="31" t="s">
        <v>6</v>
      </c>
      <c r="M5" s="5" t="s">
        <v>7</v>
      </c>
      <c r="N5" s="5" t="s">
        <v>9</v>
      </c>
      <c r="O5" s="5" t="s">
        <v>12</v>
      </c>
      <c r="P5" s="31" t="s">
        <v>15</v>
      </c>
      <c r="Q5" s="5" t="s">
        <v>16</v>
      </c>
    </row>
    <row r="6" spans="1:17" ht="25.5" x14ac:dyDescent="0.25">
      <c r="A6" s="32"/>
      <c r="B6" s="32"/>
      <c r="C6" s="32"/>
      <c r="D6" s="6" t="s">
        <v>8</v>
      </c>
      <c r="E6" s="6" t="s">
        <v>10</v>
      </c>
      <c r="F6" s="6" t="s">
        <v>13</v>
      </c>
      <c r="G6" s="32"/>
      <c r="H6" s="6" t="s">
        <v>17</v>
      </c>
      <c r="J6" s="32"/>
      <c r="K6" s="32"/>
      <c r="L6" s="32"/>
      <c r="M6" s="6" t="s">
        <v>8</v>
      </c>
      <c r="N6" s="6" t="s">
        <v>10</v>
      </c>
      <c r="O6" s="6" t="s">
        <v>13</v>
      </c>
      <c r="P6" s="32"/>
      <c r="Q6" s="6" t="s">
        <v>17</v>
      </c>
    </row>
    <row r="7" spans="1:17" ht="25.5" x14ac:dyDescent="0.25">
      <c r="A7" s="33"/>
      <c r="B7" s="33"/>
      <c r="C7" s="33"/>
      <c r="D7" s="7"/>
      <c r="E7" s="7" t="s">
        <v>11</v>
      </c>
      <c r="F7" s="7" t="s">
        <v>14</v>
      </c>
      <c r="G7" s="33"/>
      <c r="H7" s="7" t="s">
        <v>18</v>
      </c>
      <c r="J7" s="33"/>
      <c r="K7" s="33"/>
      <c r="L7" s="33"/>
      <c r="M7" s="7"/>
      <c r="N7" s="7" t="s">
        <v>11</v>
      </c>
      <c r="O7" s="7" t="s">
        <v>14</v>
      </c>
      <c r="P7" s="33"/>
      <c r="Q7" s="7" t="s">
        <v>18</v>
      </c>
    </row>
    <row r="8" spans="1:17" x14ac:dyDescent="0.25">
      <c r="A8" s="8">
        <v>1</v>
      </c>
      <c r="B8" s="8" t="s">
        <v>19</v>
      </c>
      <c r="C8" s="8">
        <v>8123</v>
      </c>
      <c r="D8" s="8">
        <v>6109</v>
      </c>
      <c r="E8" s="8">
        <v>464</v>
      </c>
      <c r="F8" s="8">
        <v>65</v>
      </c>
      <c r="G8" s="8">
        <v>6638</v>
      </c>
      <c r="H8" s="8">
        <v>44</v>
      </c>
      <c r="J8" s="8">
        <v>1</v>
      </c>
      <c r="K8" s="8" t="s">
        <v>19</v>
      </c>
      <c r="L8" s="8">
        <v>8123</v>
      </c>
      <c r="M8" s="8">
        <v>6109</v>
      </c>
      <c r="N8" s="8">
        <f>+L8-M8-O8</f>
        <v>1949</v>
      </c>
      <c r="O8" s="8">
        <v>65</v>
      </c>
      <c r="P8" s="8">
        <v>6638</v>
      </c>
      <c r="Q8" s="8">
        <v>44</v>
      </c>
    </row>
    <row r="9" spans="1:17" x14ac:dyDescent="0.25">
      <c r="A9" s="8">
        <v>2</v>
      </c>
      <c r="B9" s="8" t="s">
        <v>20</v>
      </c>
      <c r="C9" s="8">
        <v>8123</v>
      </c>
      <c r="D9" s="8">
        <v>631</v>
      </c>
      <c r="E9" s="8">
        <v>0</v>
      </c>
      <c r="F9" s="8">
        <v>0</v>
      </c>
      <c r="G9" s="8">
        <v>631</v>
      </c>
      <c r="H9" s="8">
        <v>888</v>
      </c>
      <c r="J9" s="8">
        <v>2</v>
      </c>
      <c r="K9" s="8" t="s">
        <v>20</v>
      </c>
      <c r="L9" s="8">
        <v>8123</v>
      </c>
      <c r="M9" s="8">
        <v>631</v>
      </c>
      <c r="N9" s="8">
        <f>+N8-M9</f>
        <v>1318</v>
      </c>
      <c r="O9" s="8">
        <v>0</v>
      </c>
      <c r="P9" s="8">
        <v>631</v>
      </c>
      <c r="Q9" s="8">
        <v>888</v>
      </c>
    </row>
    <row r="10" spans="1:17" x14ac:dyDescent="0.25">
      <c r="A10" s="8">
        <v>3</v>
      </c>
      <c r="B10" s="8" t="s">
        <v>21</v>
      </c>
      <c r="C10" s="8">
        <v>8123</v>
      </c>
      <c r="D10" s="8">
        <v>8</v>
      </c>
      <c r="E10" s="8">
        <v>0</v>
      </c>
      <c r="F10" s="8">
        <v>0</v>
      </c>
      <c r="G10" s="8">
        <v>8</v>
      </c>
      <c r="H10" s="8">
        <v>1</v>
      </c>
      <c r="J10" s="8">
        <v>3</v>
      </c>
      <c r="K10" s="8" t="s">
        <v>21</v>
      </c>
      <c r="L10" s="8">
        <v>8123</v>
      </c>
      <c r="M10" s="8">
        <v>8</v>
      </c>
      <c r="N10" s="8">
        <f t="shared" ref="N10:N36" si="0">+N9-M10</f>
        <v>1310</v>
      </c>
      <c r="O10" s="8">
        <v>0</v>
      </c>
      <c r="P10" s="8">
        <v>8</v>
      </c>
      <c r="Q10" s="8">
        <v>1</v>
      </c>
    </row>
    <row r="11" spans="1:17" x14ac:dyDescent="0.25">
      <c r="A11" s="8">
        <v>4</v>
      </c>
      <c r="B11" s="8" t="s">
        <v>22</v>
      </c>
      <c r="C11" s="8">
        <v>8123</v>
      </c>
      <c r="D11" s="8">
        <v>203</v>
      </c>
      <c r="E11" s="8">
        <v>0</v>
      </c>
      <c r="F11" s="8">
        <v>0</v>
      </c>
      <c r="G11" s="8">
        <v>203</v>
      </c>
      <c r="H11" s="8">
        <v>3</v>
      </c>
      <c r="J11" s="8">
        <v>4</v>
      </c>
      <c r="K11" s="8" t="s">
        <v>22</v>
      </c>
      <c r="L11" s="8">
        <v>8123</v>
      </c>
      <c r="M11" s="8">
        <v>203</v>
      </c>
      <c r="N11" s="8">
        <f t="shared" si="0"/>
        <v>1107</v>
      </c>
      <c r="O11" s="8">
        <v>0</v>
      </c>
      <c r="P11" s="8">
        <v>203</v>
      </c>
      <c r="Q11" s="8">
        <v>3</v>
      </c>
    </row>
    <row r="12" spans="1:17" x14ac:dyDescent="0.25">
      <c r="A12" s="8">
        <v>5</v>
      </c>
      <c r="B12" s="8" t="s">
        <v>23</v>
      </c>
      <c r="C12" s="8">
        <v>8123</v>
      </c>
      <c r="D12" s="8">
        <v>51</v>
      </c>
      <c r="E12" s="8">
        <v>0</v>
      </c>
      <c r="F12" s="8">
        <v>0</v>
      </c>
      <c r="G12" s="8">
        <v>51</v>
      </c>
      <c r="H12" s="8">
        <v>0</v>
      </c>
      <c r="J12" s="8">
        <v>5</v>
      </c>
      <c r="K12" s="8" t="s">
        <v>23</v>
      </c>
      <c r="L12" s="8">
        <v>8123</v>
      </c>
      <c r="M12" s="8">
        <v>51</v>
      </c>
      <c r="N12" s="8">
        <f t="shared" si="0"/>
        <v>1056</v>
      </c>
      <c r="O12" s="8">
        <v>0</v>
      </c>
      <c r="P12" s="8">
        <v>51</v>
      </c>
      <c r="Q12" s="8">
        <v>0</v>
      </c>
    </row>
    <row r="13" spans="1:17" x14ac:dyDescent="0.25">
      <c r="A13" s="8">
        <v>6</v>
      </c>
      <c r="B13" s="8" t="s">
        <v>24</v>
      </c>
      <c r="C13" s="8">
        <v>8123</v>
      </c>
      <c r="D13" s="8">
        <v>46</v>
      </c>
      <c r="E13" s="8">
        <v>0</v>
      </c>
      <c r="F13" s="8">
        <v>0</v>
      </c>
      <c r="G13" s="8">
        <v>46</v>
      </c>
      <c r="H13" s="8">
        <v>4</v>
      </c>
      <c r="J13" s="8">
        <v>6</v>
      </c>
      <c r="K13" s="8" t="s">
        <v>24</v>
      </c>
      <c r="L13" s="8">
        <v>8123</v>
      </c>
      <c r="M13" s="8">
        <v>46</v>
      </c>
      <c r="N13" s="8">
        <f t="shared" si="0"/>
        <v>1010</v>
      </c>
      <c r="O13" s="8">
        <v>0</v>
      </c>
      <c r="P13" s="8">
        <v>46</v>
      </c>
      <c r="Q13" s="8">
        <v>4</v>
      </c>
    </row>
    <row r="14" spans="1:17" x14ac:dyDescent="0.25">
      <c r="A14" s="8">
        <v>7</v>
      </c>
      <c r="B14" s="8" t="s">
        <v>25</v>
      </c>
      <c r="C14" s="8">
        <v>8123</v>
      </c>
      <c r="D14" s="8">
        <v>42</v>
      </c>
      <c r="E14" s="8">
        <v>0</v>
      </c>
      <c r="F14" s="8">
        <v>0</v>
      </c>
      <c r="G14" s="8">
        <v>42</v>
      </c>
      <c r="H14" s="8">
        <v>2</v>
      </c>
      <c r="J14" s="8">
        <v>7</v>
      </c>
      <c r="K14" s="8" t="s">
        <v>25</v>
      </c>
      <c r="L14" s="8">
        <v>8123</v>
      </c>
      <c r="M14" s="8">
        <v>42</v>
      </c>
      <c r="N14" s="8">
        <f t="shared" si="0"/>
        <v>968</v>
      </c>
      <c r="O14" s="8">
        <v>0</v>
      </c>
      <c r="P14" s="8">
        <v>42</v>
      </c>
      <c r="Q14" s="8">
        <v>2</v>
      </c>
    </row>
    <row r="15" spans="1:17" x14ac:dyDescent="0.25">
      <c r="A15" s="8">
        <v>8</v>
      </c>
      <c r="B15" s="8" t="s">
        <v>26</v>
      </c>
      <c r="C15" s="8">
        <v>8123</v>
      </c>
      <c r="D15" s="8">
        <v>53</v>
      </c>
      <c r="E15" s="8">
        <v>0</v>
      </c>
      <c r="F15" s="8">
        <v>0</v>
      </c>
      <c r="G15" s="8">
        <v>53</v>
      </c>
      <c r="H15" s="8">
        <v>1</v>
      </c>
      <c r="J15" s="8">
        <v>8</v>
      </c>
      <c r="K15" s="8" t="s">
        <v>26</v>
      </c>
      <c r="L15" s="8">
        <v>8123</v>
      </c>
      <c r="M15" s="8">
        <v>53</v>
      </c>
      <c r="N15" s="8">
        <f t="shared" si="0"/>
        <v>915</v>
      </c>
      <c r="O15" s="8">
        <v>0</v>
      </c>
      <c r="P15" s="8">
        <v>53</v>
      </c>
      <c r="Q15" s="8">
        <v>1</v>
      </c>
    </row>
    <row r="16" spans="1:17" x14ac:dyDescent="0.25">
      <c r="A16" s="8">
        <v>9</v>
      </c>
      <c r="B16" s="8" t="s">
        <v>27</v>
      </c>
      <c r="C16" s="8">
        <v>8123</v>
      </c>
      <c r="D16" s="8">
        <v>23</v>
      </c>
      <c r="E16" s="8">
        <v>0</v>
      </c>
      <c r="F16" s="8">
        <v>0</v>
      </c>
      <c r="G16" s="8">
        <v>23</v>
      </c>
      <c r="H16" s="8">
        <v>1</v>
      </c>
      <c r="J16" s="8">
        <v>9</v>
      </c>
      <c r="K16" s="8" t="s">
        <v>27</v>
      </c>
      <c r="L16" s="8">
        <v>8123</v>
      </c>
      <c r="M16" s="8">
        <v>23</v>
      </c>
      <c r="N16" s="8">
        <f t="shared" si="0"/>
        <v>892</v>
      </c>
      <c r="O16" s="8">
        <v>0</v>
      </c>
      <c r="P16" s="8">
        <v>23</v>
      </c>
      <c r="Q16" s="8">
        <v>1</v>
      </c>
    </row>
    <row r="17" spans="1:17" x14ac:dyDescent="0.25">
      <c r="A17" s="8">
        <v>10</v>
      </c>
      <c r="B17" s="9">
        <v>46031</v>
      </c>
      <c r="C17" s="8">
        <v>8123</v>
      </c>
      <c r="D17" s="8">
        <v>14</v>
      </c>
      <c r="E17" s="8">
        <v>0</v>
      </c>
      <c r="F17" s="8">
        <v>0</v>
      </c>
      <c r="G17" s="8">
        <v>14</v>
      </c>
      <c r="H17" s="8">
        <v>3</v>
      </c>
      <c r="J17" s="8">
        <v>10</v>
      </c>
      <c r="K17" s="9">
        <v>46031</v>
      </c>
      <c r="L17" s="8">
        <v>8123</v>
      </c>
      <c r="M17" s="8">
        <v>14</v>
      </c>
      <c r="N17" s="8">
        <f t="shared" si="0"/>
        <v>878</v>
      </c>
      <c r="O17" s="8">
        <v>0</v>
      </c>
      <c r="P17" s="8">
        <v>14</v>
      </c>
      <c r="Q17" s="8">
        <v>3</v>
      </c>
    </row>
    <row r="18" spans="1:17" x14ac:dyDescent="0.25">
      <c r="A18" s="8">
        <v>11</v>
      </c>
      <c r="B18" s="9">
        <v>46062</v>
      </c>
      <c r="C18" s="8">
        <v>8123</v>
      </c>
      <c r="D18" s="8">
        <v>23</v>
      </c>
      <c r="E18" s="8">
        <v>0</v>
      </c>
      <c r="F18" s="8">
        <v>0</v>
      </c>
      <c r="G18" s="8">
        <v>23</v>
      </c>
      <c r="H18" s="8">
        <v>1</v>
      </c>
      <c r="J18" s="8">
        <v>11</v>
      </c>
      <c r="K18" s="9">
        <v>46062</v>
      </c>
      <c r="L18" s="8">
        <v>8123</v>
      </c>
      <c r="M18" s="8">
        <v>23</v>
      </c>
      <c r="N18" s="8">
        <f t="shared" si="0"/>
        <v>855</v>
      </c>
      <c r="O18" s="8">
        <v>0</v>
      </c>
      <c r="P18" s="8">
        <v>23</v>
      </c>
      <c r="Q18" s="8">
        <v>1</v>
      </c>
    </row>
    <row r="19" spans="1:17" x14ac:dyDescent="0.25">
      <c r="A19" s="8">
        <v>12</v>
      </c>
      <c r="B19" s="9">
        <v>46090</v>
      </c>
      <c r="C19" s="8">
        <v>8123</v>
      </c>
      <c r="D19" s="8">
        <v>25</v>
      </c>
      <c r="E19" s="8">
        <v>0</v>
      </c>
      <c r="F19" s="8">
        <v>0</v>
      </c>
      <c r="G19" s="8">
        <v>25</v>
      </c>
      <c r="H19" s="8">
        <v>3</v>
      </c>
      <c r="J19" s="8">
        <v>12</v>
      </c>
      <c r="K19" s="9">
        <v>46090</v>
      </c>
      <c r="L19" s="8">
        <v>8123</v>
      </c>
      <c r="M19" s="8">
        <v>25</v>
      </c>
      <c r="N19" s="8">
        <f t="shared" si="0"/>
        <v>830</v>
      </c>
      <c r="O19" s="8">
        <v>0</v>
      </c>
      <c r="P19" s="8">
        <v>25</v>
      </c>
      <c r="Q19" s="8">
        <v>3</v>
      </c>
    </row>
    <row r="20" spans="1:17" x14ac:dyDescent="0.25">
      <c r="A20" s="8">
        <v>13</v>
      </c>
      <c r="B20" s="9">
        <v>46121</v>
      </c>
      <c r="C20" s="8">
        <v>8123</v>
      </c>
      <c r="D20" s="8">
        <v>21</v>
      </c>
      <c r="E20" s="8">
        <v>0</v>
      </c>
      <c r="F20" s="8">
        <v>0</v>
      </c>
      <c r="G20" s="8">
        <v>21</v>
      </c>
      <c r="H20" s="8">
        <v>1</v>
      </c>
      <c r="J20" s="8">
        <v>13</v>
      </c>
      <c r="K20" s="9">
        <v>46121</v>
      </c>
      <c r="L20" s="8">
        <v>8123</v>
      </c>
      <c r="M20" s="8">
        <v>21</v>
      </c>
      <c r="N20" s="8">
        <f t="shared" si="0"/>
        <v>809</v>
      </c>
      <c r="O20" s="8">
        <v>0</v>
      </c>
      <c r="P20" s="8">
        <v>21</v>
      </c>
      <c r="Q20" s="8">
        <v>1</v>
      </c>
    </row>
    <row r="21" spans="1:17" x14ac:dyDescent="0.25">
      <c r="A21" s="8">
        <v>14</v>
      </c>
      <c r="B21" s="9">
        <v>46151</v>
      </c>
      <c r="C21" s="8">
        <v>8123</v>
      </c>
      <c r="D21" s="8">
        <v>3</v>
      </c>
      <c r="E21" s="8">
        <v>0</v>
      </c>
      <c r="F21" s="8">
        <v>0</v>
      </c>
      <c r="G21" s="8">
        <v>3</v>
      </c>
      <c r="H21" s="8">
        <v>2</v>
      </c>
      <c r="J21" s="8">
        <v>14</v>
      </c>
      <c r="K21" s="9">
        <v>46151</v>
      </c>
      <c r="L21" s="8">
        <v>8123</v>
      </c>
      <c r="M21" s="8">
        <v>3</v>
      </c>
      <c r="N21" s="8">
        <f t="shared" si="0"/>
        <v>806</v>
      </c>
      <c r="O21" s="8">
        <v>0</v>
      </c>
      <c r="P21" s="8">
        <v>3</v>
      </c>
      <c r="Q21" s="8">
        <v>2</v>
      </c>
    </row>
    <row r="22" spans="1:17" x14ac:dyDescent="0.25">
      <c r="A22" s="8">
        <v>15</v>
      </c>
      <c r="B22" s="9">
        <v>46182</v>
      </c>
      <c r="C22" s="8">
        <v>8123</v>
      </c>
      <c r="D22" s="8">
        <v>15</v>
      </c>
      <c r="E22" s="8">
        <v>0</v>
      </c>
      <c r="F22" s="8">
        <v>0</v>
      </c>
      <c r="G22" s="8">
        <v>15</v>
      </c>
      <c r="H22" s="8">
        <v>0</v>
      </c>
      <c r="J22" s="8">
        <v>15</v>
      </c>
      <c r="K22" s="9">
        <v>46182</v>
      </c>
      <c r="L22" s="8">
        <v>8123</v>
      </c>
      <c r="M22" s="8">
        <v>15</v>
      </c>
      <c r="N22" s="8">
        <f t="shared" si="0"/>
        <v>791</v>
      </c>
      <c r="O22" s="8">
        <v>0</v>
      </c>
      <c r="P22" s="8">
        <v>15</v>
      </c>
      <c r="Q22" s="8">
        <v>0</v>
      </c>
    </row>
    <row r="23" spans="1:17" x14ac:dyDescent="0.25">
      <c r="A23" s="8">
        <v>16</v>
      </c>
      <c r="B23" s="9">
        <v>46212</v>
      </c>
      <c r="C23" s="8">
        <v>8123</v>
      </c>
      <c r="D23" s="8">
        <v>280</v>
      </c>
      <c r="E23" s="8">
        <v>0</v>
      </c>
      <c r="F23" s="8">
        <v>0</v>
      </c>
      <c r="G23" s="8">
        <v>280</v>
      </c>
      <c r="H23" s="8">
        <v>875</v>
      </c>
      <c r="J23" s="8">
        <v>16</v>
      </c>
      <c r="K23" s="9">
        <v>46212</v>
      </c>
      <c r="L23" s="8">
        <v>8123</v>
      </c>
      <c r="M23" s="8">
        <v>280</v>
      </c>
      <c r="N23" s="8">
        <f t="shared" si="0"/>
        <v>511</v>
      </c>
      <c r="O23" s="8">
        <v>0</v>
      </c>
      <c r="P23" s="8">
        <v>280</v>
      </c>
      <c r="Q23" s="8">
        <v>875</v>
      </c>
    </row>
    <row r="24" spans="1:17" x14ac:dyDescent="0.25">
      <c r="A24" s="8">
        <v>17</v>
      </c>
      <c r="B24" s="9">
        <v>46243</v>
      </c>
      <c r="C24" s="8">
        <v>8123</v>
      </c>
      <c r="D24" s="8">
        <v>4</v>
      </c>
      <c r="E24" s="8">
        <v>0</v>
      </c>
      <c r="F24" s="8">
        <v>0</v>
      </c>
      <c r="G24" s="8">
        <v>4</v>
      </c>
      <c r="H24" s="8">
        <v>0</v>
      </c>
      <c r="J24" s="8">
        <v>17</v>
      </c>
      <c r="K24" s="9">
        <v>46243</v>
      </c>
      <c r="L24" s="8">
        <v>8123</v>
      </c>
      <c r="M24" s="8">
        <v>4</v>
      </c>
      <c r="N24" s="8">
        <f t="shared" si="0"/>
        <v>507</v>
      </c>
      <c r="O24" s="8">
        <v>0</v>
      </c>
      <c r="P24" s="8">
        <v>4</v>
      </c>
      <c r="Q24" s="8">
        <v>0</v>
      </c>
    </row>
    <row r="25" spans="1:17" x14ac:dyDescent="0.25">
      <c r="A25" s="8">
        <v>18</v>
      </c>
      <c r="B25" s="9">
        <v>46304</v>
      </c>
      <c r="C25" s="8">
        <v>8123</v>
      </c>
      <c r="D25" s="8">
        <v>8</v>
      </c>
      <c r="E25" s="8">
        <v>0</v>
      </c>
      <c r="F25" s="8">
        <v>0</v>
      </c>
      <c r="G25" s="8">
        <v>8</v>
      </c>
      <c r="H25" s="8">
        <v>0</v>
      </c>
      <c r="J25" s="8">
        <v>18</v>
      </c>
      <c r="K25" s="9">
        <v>46304</v>
      </c>
      <c r="L25" s="8">
        <v>8123</v>
      </c>
      <c r="M25" s="8">
        <v>8</v>
      </c>
      <c r="N25" s="8">
        <f t="shared" si="0"/>
        <v>499</v>
      </c>
      <c r="O25" s="8">
        <v>0</v>
      </c>
      <c r="P25" s="8">
        <v>8</v>
      </c>
      <c r="Q25" s="8">
        <v>0</v>
      </c>
    </row>
    <row r="26" spans="1:17" x14ac:dyDescent="0.25">
      <c r="A26" s="8">
        <v>19</v>
      </c>
      <c r="B26" s="9">
        <v>46335</v>
      </c>
      <c r="C26" s="8">
        <v>8123</v>
      </c>
      <c r="D26" s="8">
        <v>0</v>
      </c>
      <c r="E26" s="8">
        <v>0</v>
      </c>
      <c r="F26" s="8">
        <v>0</v>
      </c>
      <c r="G26" s="8">
        <v>0</v>
      </c>
      <c r="H26" s="8">
        <v>1</v>
      </c>
      <c r="J26" s="8">
        <v>19</v>
      </c>
      <c r="K26" s="9">
        <v>46335</v>
      </c>
      <c r="L26" s="8">
        <v>8123</v>
      </c>
      <c r="M26" s="8">
        <v>0</v>
      </c>
      <c r="N26" s="8">
        <f t="shared" si="0"/>
        <v>499</v>
      </c>
      <c r="O26" s="8">
        <v>0</v>
      </c>
      <c r="P26" s="8">
        <v>0</v>
      </c>
      <c r="Q26" s="8">
        <v>1</v>
      </c>
    </row>
    <row r="27" spans="1:17" x14ac:dyDescent="0.25">
      <c r="A27" s="8">
        <v>20</v>
      </c>
      <c r="B27" s="9">
        <v>46365</v>
      </c>
      <c r="C27" s="8">
        <v>8123</v>
      </c>
      <c r="D27" s="8">
        <v>1</v>
      </c>
      <c r="E27" s="8">
        <v>0</v>
      </c>
      <c r="F27" s="8">
        <v>0</v>
      </c>
      <c r="G27" s="8">
        <v>1</v>
      </c>
      <c r="H27" s="8">
        <v>0</v>
      </c>
      <c r="J27" s="8">
        <v>20</v>
      </c>
      <c r="K27" s="9">
        <v>46365</v>
      </c>
      <c r="L27" s="8">
        <v>8123</v>
      </c>
      <c r="M27" s="8">
        <v>1</v>
      </c>
      <c r="N27" s="8">
        <f t="shared" si="0"/>
        <v>498</v>
      </c>
      <c r="O27" s="8">
        <v>0</v>
      </c>
      <c r="P27" s="8">
        <v>1</v>
      </c>
      <c r="Q27" s="8">
        <v>0</v>
      </c>
    </row>
    <row r="28" spans="1:17" x14ac:dyDescent="0.25">
      <c r="A28" s="8">
        <v>21</v>
      </c>
      <c r="B28" s="8" t="s">
        <v>28</v>
      </c>
      <c r="C28" s="8">
        <v>8123</v>
      </c>
      <c r="D28" s="8">
        <v>5</v>
      </c>
      <c r="E28" s="8">
        <v>0</v>
      </c>
      <c r="F28" s="8">
        <v>0</v>
      </c>
      <c r="G28" s="8">
        <v>5</v>
      </c>
      <c r="H28" s="8">
        <v>0</v>
      </c>
      <c r="J28" s="8">
        <v>21</v>
      </c>
      <c r="K28" s="8" t="s">
        <v>28</v>
      </c>
      <c r="L28" s="8">
        <v>8123</v>
      </c>
      <c r="M28" s="8">
        <v>5</v>
      </c>
      <c r="N28" s="8">
        <f t="shared" si="0"/>
        <v>493</v>
      </c>
      <c r="O28" s="8">
        <v>0</v>
      </c>
      <c r="P28" s="8">
        <v>5</v>
      </c>
      <c r="Q28" s="8">
        <v>0</v>
      </c>
    </row>
    <row r="29" spans="1:17" x14ac:dyDescent="0.25">
      <c r="A29" s="8">
        <v>22</v>
      </c>
      <c r="B29" s="8" t="s">
        <v>29</v>
      </c>
      <c r="C29" s="8">
        <v>8123</v>
      </c>
      <c r="D29" s="8">
        <v>4</v>
      </c>
      <c r="E29" s="8">
        <v>0</v>
      </c>
      <c r="F29" s="8">
        <v>0</v>
      </c>
      <c r="G29" s="8">
        <v>4</v>
      </c>
      <c r="H29" s="8">
        <v>1</v>
      </c>
      <c r="J29" s="8">
        <v>22</v>
      </c>
      <c r="K29" s="8" t="s">
        <v>29</v>
      </c>
      <c r="L29" s="8">
        <v>8123</v>
      </c>
      <c r="M29" s="8">
        <v>4</v>
      </c>
      <c r="N29" s="8">
        <f t="shared" si="0"/>
        <v>489</v>
      </c>
      <c r="O29" s="8">
        <v>0</v>
      </c>
      <c r="P29" s="8">
        <v>4</v>
      </c>
      <c r="Q29" s="8">
        <v>1</v>
      </c>
    </row>
    <row r="30" spans="1:17" x14ac:dyDescent="0.25">
      <c r="A30" s="8">
        <v>23</v>
      </c>
      <c r="B30" s="8" t="s">
        <v>30</v>
      </c>
      <c r="C30" s="8">
        <v>8123</v>
      </c>
      <c r="D30" s="8">
        <v>4</v>
      </c>
      <c r="E30" s="8">
        <v>0</v>
      </c>
      <c r="F30" s="8">
        <v>0</v>
      </c>
      <c r="G30" s="8">
        <v>4</v>
      </c>
      <c r="H30" s="8">
        <v>0</v>
      </c>
      <c r="J30" s="8">
        <v>23</v>
      </c>
      <c r="K30" s="8" t="s">
        <v>30</v>
      </c>
      <c r="L30" s="8">
        <v>8123</v>
      </c>
      <c r="M30" s="8">
        <v>4</v>
      </c>
      <c r="N30" s="8">
        <f t="shared" si="0"/>
        <v>485</v>
      </c>
      <c r="O30" s="8">
        <v>0</v>
      </c>
      <c r="P30" s="8">
        <v>4</v>
      </c>
      <c r="Q30" s="8">
        <v>0</v>
      </c>
    </row>
    <row r="31" spans="1:17" x14ac:dyDescent="0.25">
      <c r="A31" s="8">
        <v>24</v>
      </c>
      <c r="B31" s="8" t="s">
        <v>31</v>
      </c>
      <c r="C31" s="8">
        <v>8123</v>
      </c>
      <c r="D31" s="8">
        <v>1</v>
      </c>
      <c r="E31" s="8">
        <v>0</v>
      </c>
      <c r="F31" s="8">
        <v>0</v>
      </c>
      <c r="G31" s="8">
        <v>1</v>
      </c>
      <c r="H31" s="8">
        <v>5</v>
      </c>
      <c r="J31" s="8">
        <v>24</v>
      </c>
      <c r="K31" s="8" t="s">
        <v>31</v>
      </c>
      <c r="L31" s="8">
        <v>8123</v>
      </c>
      <c r="M31" s="8">
        <v>1</v>
      </c>
      <c r="N31" s="8">
        <f t="shared" si="0"/>
        <v>484</v>
      </c>
      <c r="O31" s="8">
        <v>0</v>
      </c>
      <c r="P31" s="8">
        <v>1</v>
      </c>
      <c r="Q31" s="8">
        <v>5</v>
      </c>
    </row>
    <row r="32" spans="1:17" x14ac:dyDescent="0.25">
      <c r="A32" s="8">
        <v>25</v>
      </c>
      <c r="B32" s="8" t="s">
        <v>32</v>
      </c>
      <c r="C32" s="8">
        <v>8123</v>
      </c>
      <c r="D32" s="8">
        <v>5</v>
      </c>
      <c r="E32" s="8">
        <v>0</v>
      </c>
      <c r="F32" s="8">
        <v>0</v>
      </c>
      <c r="G32" s="8">
        <v>5</v>
      </c>
      <c r="H32" s="8">
        <v>0</v>
      </c>
      <c r="J32" s="8">
        <v>25</v>
      </c>
      <c r="K32" s="8" t="s">
        <v>32</v>
      </c>
      <c r="L32" s="8">
        <v>8123</v>
      </c>
      <c r="M32" s="8">
        <v>5</v>
      </c>
      <c r="N32" s="8">
        <f t="shared" si="0"/>
        <v>479</v>
      </c>
      <c r="O32" s="8">
        <v>0</v>
      </c>
      <c r="P32" s="8">
        <v>5</v>
      </c>
      <c r="Q32" s="8">
        <v>0</v>
      </c>
    </row>
    <row r="33" spans="1:17" x14ac:dyDescent="0.25">
      <c r="A33" s="8">
        <v>26</v>
      </c>
      <c r="B33" s="8" t="s">
        <v>33</v>
      </c>
      <c r="C33" s="8">
        <v>8123</v>
      </c>
      <c r="D33" s="8">
        <v>11</v>
      </c>
      <c r="E33" s="8">
        <v>0</v>
      </c>
      <c r="F33" s="8">
        <v>0</v>
      </c>
      <c r="G33" s="8">
        <v>11</v>
      </c>
      <c r="H33" s="8">
        <v>0</v>
      </c>
      <c r="J33" s="8">
        <v>26</v>
      </c>
      <c r="K33" s="8" t="s">
        <v>33</v>
      </c>
      <c r="L33" s="8">
        <v>8123</v>
      </c>
      <c r="M33" s="8">
        <v>11</v>
      </c>
      <c r="N33" s="8">
        <f t="shared" si="0"/>
        <v>468</v>
      </c>
      <c r="O33" s="8">
        <v>0</v>
      </c>
      <c r="P33" s="8">
        <v>11</v>
      </c>
      <c r="Q33" s="8">
        <v>0</v>
      </c>
    </row>
    <row r="34" spans="1:17" x14ac:dyDescent="0.25">
      <c r="A34" s="8">
        <v>27</v>
      </c>
      <c r="B34" s="8" t="s">
        <v>34</v>
      </c>
      <c r="C34" s="8">
        <v>8123</v>
      </c>
      <c r="D34" s="8">
        <v>2</v>
      </c>
      <c r="E34" s="8">
        <v>0</v>
      </c>
      <c r="F34" s="8">
        <v>0</v>
      </c>
      <c r="G34" s="8">
        <v>2</v>
      </c>
      <c r="H34" s="8">
        <v>111</v>
      </c>
      <c r="J34" s="8">
        <v>27</v>
      </c>
      <c r="K34" s="8" t="s">
        <v>34</v>
      </c>
      <c r="L34" s="8">
        <v>8123</v>
      </c>
      <c r="M34" s="8">
        <v>2</v>
      </c>
      <c r="N34" s="8">
        <f t="shared" si="0"/>
        <v>466</v>
      </c>
      <c r="O34" s="8">
        <v>0</v>
      </c>
      <c r="P34" s="8">
        <v>2</v>
      </c>
      <c r="Q34" s="8">
        <v>111</v>
      </c>
    </row>
    <row r="35" spans="1:17" x14ac:dyDescent="0.25">
      <c r="A35" s="8">
        <v>28</v>
      </c>
      <c r="B35" s="8" t="s">
        <v>35</v>
      </c>
      <c r="C35" s="8">
        <v>8123</v>
      </c>
      <c r="D35" s="8">
        <v>1</v>
      </c>
      <c r="E35" s="8">
        <v>0</v>
      </c>
      <c r="F35" s="8">
        <v>0</v>
      </c>
      <c r="G35" s="8">
        <v>1</v>
      </c>
      <c r="H35" s="8">
        <v>39</v>
      </c>
      <c r="J35" s="8">
        <v>28</v>
      </c>
      <c r="K35" s="8" t="s">
        <v>35</v>
      </c>
      <c r="L35" s="8">
        <v>8123</v>
      </c>
      <c r="M35" s="8">
        <v>1</v>
      </c>
      <c r="N35" s="8">
        <f t="shared" si="0"/>
        <v>465</v>
      </c>
      <c r="O35" s="8">
        <v>0</v>
      </c>
      <c r="P35" s="8">
        <v>1</v>
      </c>
      <c r="Q35" s="8">
        <v>39</v>
      </c>
    </row>
    <row r="36" spans="1:17" x14ac:dyDescent="0.25">
      <c r="A36" s="8">
        <v>29</v>
      </c>
      <c r="B36" s="8" t="s">
        <v>36</v>
      </c>
      <c r="C36" s="8">
        <v>8123</v>
      </c>
      <c r="D36" s="8">
        <v>1</v>
      </c>
      <c r="E36" s="8">
        <v>0</v>
      </c>
      <c r="F36" s="8">
        <v>0</v>
      </c>
      <c r="G36" s="8">
        <v>1</v>
      </c>
      <c r="H36" s="8">
        <v>92</v>
      </c>
      <c r="J36" s="8">
        <v>29</v>
      </c>
      <c r="K36" s="8" t="s">
        <v>36</v>
      </c>
      <c r="L36" s="8">
        <v>8123</v>
      </c>
      <c r="M36" s="8">
        <v>1</v>
      </c>
      <c r="N36" s="8">
        <f t="shared" si="0"/>
        <v>464</v>
      </c>
      <c r="O36" s="8">
        <v>0</v>
      </c>
      <c r="P36" s="8">
        <v>1</v>
      </c>
      <c r="Q36" s="8">
        <v>92</v>
      </c>
    </row>
    <row r="37" spans="1:17" x14ac:dyDescent="0.25">
      <c r="A37" s="23" t="s">
        <v>37</v>
      </c>
      <c r="B37" s="25"/>
      <c r="C37" s="8">
        <v>8123</v>
      </c>
      <c r="D37" s="8">
        <v>7594</v>
      </c>
      <c r="E37" s="8">
        <v>464</v>
      </c>
      <c r="F37" s="8">
        <v>65</v>
      </c>
      <c r="G37" s="8">
        <v>8123</v>
      </c>
      <c r="H37" s="8">
        <v>2078</v>
      </c>
      <c r="J37" s="23" t="s">
        <v>37</v>
      </c>
      <c r="K37" s="25"/>
      <c r="L37" s="8">
        <v>8123</v>
      </c>
      <c r="M37" s="8">
        <v>7594</v>
      </c>
      <c r="N37" s="8">
        <v>464</v>
      </c>
      <c r="O37" s="8">
        <v>65</v>
      </c>
      <c r="P37" s="8">
        <v>8123</v>
      </c>
      <c r="Q37" s="8">
        <v>2078</v>
      </c>
    </row>
    <row r="38" spans="1:17" ht="75" customHeight="1" x14ac:dyDescent="0.25">
      <c r="A38" s="26" t="s">
        <v>38</v>
      </c>
      <c r="B38" s="26"/>
      <c r="J38" s="26" t="s">
        <v>38</v>
      </c>
      <c r="K38" s="26"/>
    </row>
    <row r="39" spans="1:17" ht="15" customHeight="1" x14ac:dyDescent="0.25">
      <c r="A39" s="27" t="s">
        <v>39</v>
      </c>
      <c r="B39" s="27"/>
      <c r="J39" s="27" t="s">
        <v>39</v>
      </c>
      <c r="K39" s="27"/>
    </row>
  </sheetData>
  <mergeCells count="16">
    <mergeCell ref="J39:K39"/>
    <mergeCell ref="A37:B37"/>
    <mergeCell ref="A38:B38"/>
    <mergeCell ref="A39:B39"/>
    <mergeCell ref="Q1:Q3"/>
    <mergeCell ref="J5:J7"/>
    <mergeCell ref="K5:K7"/>
    <mergeCell ref="L5:L7"/>
    <mergeCell ref="P5:P7"/>
    <mergeCell ref="J37:K37"/>
    <mergeCell ref="J38:K38"/>
    <mergeCell ref="H1:H3"/>
    <mergeCell ref="A5:A7"/>
    <mergeCell ref="B5:B7"/>
    <mergeCell ref="C5:C7"/>
    <mergeCell ref="G5:G7"/>
  </mergeCells>
  <pageMargins left="0" right="0.75" top="1" bottom="0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EB1A0-8C04-4B78-AC67-6C4E9AAD5A45}">
  <dimension ref="A1:BO134"/>
  <sheetViews>
    <sheetView showGridLines="0" workbookViewId="0">
      <selection activeCell="K10" sqref="K10"/>
    </sheetView>
  </sheetViews>
  <sheetFormatPr defaultRowHeight="15" x14ac:dyDescent="0.25"/>
  <cols>
    <col min="1" max="1" width="4" bestFit="1" customWidth="1"/>
    <col min="2" max="2" width="22.42578125" customWidth="1"/>
    <col min="3" max="3" width="13.7109375" customWidth="1"/>
    <col min="4" max="5" width="3.42578125" customWidth="1"/>
    <col min="6" max="6" width="2.7109375" customWidth="1"/>
    <col min="7" max="7" width="3.85546875" customWidth="1"/>
    <col min="8" max="8" width="2.7109375" customWidth="1"/>
    <col min="9" max="9" width="4" customWidth="1"/>
    <col min="10" max="10" width="2.7109375" customWidth="1"/>
    <col min="11" max="11" width="4.140625" customWidth="1"/>
    <col min="12" max="12" width="2.7109375" customWidth="1"/>
    <col min="13" max="13" width="3.85546875" customWidth="1"/>
    <col min="14" max="14" width="3.5703125" bestFit="1" customWidth="1"/>
    <col min="15" max="15" width="3.5703125" customWidth="1"/>
    <col min="16" max="16" width="3.5703125" bestFit="1" customWidth="1"/>
    <col min="17" max="17" width="3.5703125" customWidth="1"/>
    <col min="18" max="18" width="2.7109375" bestFit="1" customWidth="1"/>
    <col min="19" max="19" width="4" customWidth="1"/>
    <col min="20" max="20" width="3.5703125" bestFit="1" customWidth="1"/>
    <col min="21" max="21" width="3.5703125" customWidth="1"/>
    <col min="22" max="22" width="3" bestFit="1" customWidth="1"/>
    <col min="23" max="23" width="4.140625" customWidth="1"/>
    <col min="24" max="24" width="3" bestFit="1" customWidth="1"/>
    <col min="25" max="25" width="3.85546875" customWidth="1"/>
    <col min="26" max="26" width="3.5703125" bestFit="1" customWidth="1"/>
    <col min="27" max="27" width="3.5703125" customWidth="1"/>
    <col min="28" max="28" width="3.5703125" bestFit="1" customWidth="1"/>
    <col min="29" max="29" width="3.5703125" customWidth="1"/>
    <col min="30" max="30" width="3.5703125" bestFit="1" customWidth="1"/>
    <col min="31" max="31" width="3.5703125" customWidth="1"/>
    <col min="32" max="32" width="3" bestFit="1" customWidth="1"/>
    <col min="33" max="33" width="4.140625" customWidth="1"/>
    <col min="34" max="34" width="3.5703125" bestFit="1" customWidth="1"/>
    <col min="35" max="35" width="3.5703125" customWidth="1"/>
    <col min="36" max="36" width="3" bestFit="1" customWidth="1"/>
    <col min="37" max="37" width="4.5703125" customWidth="1"/>
    <col min="38" max="38" width="3.5703125" bestFit="1" customWidth="1"/>
    <col min="39" max="39" width="3.5703125" customWidth="1"/>
    <col min="40" max="40" width="3" bestFit="1" customWidth="1"/>
    <col min="41" max="41" width="4" customWidth="1"/>
    <col min="42" max="42" width="3" bestFit="1" customWidth="1"/>
    <col min="43" max="43" width="4.140625" customWidth="1"/>
    <col min="44" max="44" width="3.5703125" bestFit="1" customWidth="1"/>
    <col min="45" max="45" width="3.5703125" customWidth="1"/>
    <col min="46" max="46" width="3" bestFit="1" customWidth="1"/>
    <col min="47" max="47" width="4.140625" customWidth="1"/>
    <col min="48" max="48" width="3.5703125" bestFit="1" customWidth="1"/>
    <col min="49" max="49" width="3.5703125" customWidth="1"/>
    <col min="50" max="50" width="3" bestFit="1" customWidth="1"/>
    <col min="51" max="51" width="4.42578125" customWidth="1"/>
    <col min="52" max="52" width="3" bestFit="1" customWidth="1"/>
    <col min="53" max="53" width="4" customWidth="1"/>
    <col min="54" max="54" width="3" bestFit="1" customWidth="1"/>
    <col min="55" max="55" width="4.28515625" customWidth="1"/>
    <col min="56" max="56" width="3" bestFit="1" customWidth="1"/>
    <col min="57" max="57" width="4" customWidth="1"/>
    <col min="58" max="58" width="3" bestFit="1" customWidth="1"/>
    <col min="59" max="59" width="4" customWidth="1"/>
    <col min="60" max="60" width="3" bestFit="1" customWidth="1"/>
    <col min="61" max="61" width="4" customWidth="1"/>
    <col min="62" max="62" width="3" bestFit="1" customWidth="1"/>
    <col min="63" max="63" width="4" customWidth="1"/>
    <col min="64" max="64" width="8.28515625" customWidth="1"/>
    <col min="65" max="65" width="6.42578125" bestFit="1" customWidth="1"/>
    <col min="66" max="66" width="10.28515625" bestFit="1" customWidth="1"/>
  </cols>
  <sheetData>
    <row r="1" spans="1:67" x14ac:dyDescent="0.25">
      <c r="A1" s="1"/>
      <c r="B1" s="28" t="s">
        <v>42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"/>
      <c r="N1" s="27"/>
      <c r="O1" s="1"/>
    </row>
    <row r="2" spans="1:67" x14ac:dyDescent="0.25">
      <c r="A2" s="1"/>
      <c r="B2" s="29" t="s">
        <v>43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3"/>
      <c r="N2" s="27"/>
      <c r="O2" s="1"/>
    </row>
    <row r="3" spans="1:67" x14ac:dyDescent="0.25">
      <c r="A3" s="1"/>
      <c r="B3" s="29" t="s">
        <v>44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3"/>
      <c r="N3" s="27"/>
      <c r="O3" s="1"/>
    </row>
    <row r="4" spans="1:67" ht="36" x14ac:dyDescent="0.25">
      <c r="A4" s="4" t="s">
        <v>4</v>
      </c>
      <c r="B4" s="4" t="s">
        <v>45</v>
      </c>
      <c r="C4" s="13" t="s">
        <v>46</v>
      </c>
      <c r="D4" s="19">
        <v>1</v>
      </c>
      <c r="E4" s="20"/>
      <c r="F4" s="19">
        <v>2</v>
      </c>
      <c r="G4" s="20"/>
      <c r="H4" s="19">
        <v>3</v>
      </c>
      <c r="I4" s="20"/>
      <c r="J4" s="19">
        <v>4</v>
      </c>
      <c r="K4" s="20"/>
      <c r="L4" s="19">
        <v>5</v>
      </c>
      <c r="M4" s="20"/>
      <c r="N4" s="19">
        <v>6</v>
      </c>
      <c r="O4" s="20"/>
      <c r="P4" s="19">
        <v>7</v>
      </c>
      <c r="Q4" s="20"/>
      <c r="R4" s="19">
        <v>8</v>
      </c>
      <c r="S4" s="20"/>
      <c r="T4" s="19">
        <v>9</v>
      </c>
      <c r="U4" s="20"/>
      <c r="V4" s="19">
        <v>10</v>
      </c>
      <c r="W4" s="20"/>
      <c r="X4" s="19">
        <v>11</v>
      </c>
      <c r="Y4" s="20"/>
      <c r="Z4" s="19">
        <v>12</v>
      </c>
      <c r="AA4" s="20"/>
      <c r="AB4" s="19">
        <v>13</v>
      </c>
      <c r="AC4" s="20"/>
      <c r="AD4" s="19">
        <v>14</v>
      </c>
      <c r="AE4" s="20"/>
      <c r="AF4" s="19">
        <v>15</v>
      </c>
      <c r="AG4" s="20"/>
      <c r="AH4" s="19">
        <v>16</v>
      </c>
      <c r="AI4" s="20"/>
      <c r="AJ4" s="19">
        <v>17</v>
      </c>
      <c r="AK4" s="20"/>
      <c r="AL4" s="19">
        <v>18</v>
      </c>
      <c r="AM4" s="20"/>
      <c r="AN4" s="19">
        <v>19</v>
      </c>
      <c r="AO4" s="20"/>
      <c r="AP4" s="19">
        <v>20</v>
      </c>
      <c r="AQ4" s="20"/>
      <c r="AR4" s="19">
        <v>21</v>
      </c>
      <c r="AS4" s="20"/>
      <c r="AT4" s="19">
        <v>22</v>
      </c>
      <c r="AU4" s="20"/>
      <c r="AV4" s="19">
        <v>23</v>
      </c>
      <c r="AW4" s="20"/>
      <c r="AX4" s="19">
        <v>24</v>
      </c>
      <c r="AY4" s="20"/>
      <c r="AZ4" s="19">
        <v>25</v>
      </c>
      <c r="BA4" s="20"/>
      <c r="BB4" s="19">
        <v>26</v>
      </c>
      <c r="BC4" s="20"/>
      <c r="BD4" s="19">
        <v>27</v>
      </c>
      <c r="BE4" s="20"/>
      <c r="BF4" s="19">
        <v>28</v>
      </c>
      <c r="BG4" s="20"/>
      <c r="BH4" s="19">
        <v>29</v>
      </c>
      <c r="BI4" s="20"/>
      <c r="BJ4" s="19">
        <v>30</v>
      </c>
      <c r="BK4" s="20"/>
      <c r="BL4" s="19" t="s">
        <v>47</v>
      </c>
      <c r="BM4" s="20"/>
      <c r="BN4" s="21" t="s">
        <v>48</v>
      </c>
    </row>
    <row r="5" spans="1:67" x14ac:dyDescent="0.25">
      <c r="A5" s="4"/>
      <c r="B5" s="4"/>
      <c r="C5" s="4"/>
      <c r="D5" s="14" t="s">
        <v>49</v>
      </c>
      <c r="E5" s="14" t="s">
        <v>50</v>
      </c>
      <c r="F5" s="14" t="s">
        <v>49</v>
      </c>
      <c r="G5" s="14" t="s">
        <v>50</v>
      </c>
      <c r="H5" s="14" t="s">
        <v>49</v>
      </c>
      <c r="I5" s="14" t="s">
        <v>50</v>
      </c>
      <c r="J5" s="14" t="s">
        <v>49</v>
      </c>
      <c r="K5" s="14" t="s">
        <v>50</v>
      </c>
      <c r="L5" s="14" t="s">
        <v>49</v>
      </c>
      <c r="M5" s="14" t="s">
        <v>50</v>
      </c>
      <c r="N5" s="14" t="s">
        <v>49</v>
      </c>
      <c r="O5" s="14" t="s">
        <v>50</v>
      </c>
      <c r="P5" s="14" t="s">
        <v>49</v>
      </c>
      <c r="Q5" s="14" t="s">
        <v>50</v>
      </c>
      <c r="R5" s="14" t="s">
        <v>49</v>
      </c>
      <c r="S5" s="14" t="s">
        <v>50</v>
      </c>
      <c r="T5" s="14" t="s">
        <v>49</v>
      </c>
      <c r="U5" s="14" t="s">
        <v>50</v>
      </c>
      <c r="V5" s="14" t="s">
        <v>49</v>
      </c>
      <c r="W5" s="14" t="s">
        <v>50</v>
      </c>
      <c r="X5" s="14" t="s">
        <v>49</v>
      </c>
      <c r="Y5" s="14" t="s">
        <v>50</v>
      </c>
      <c r="Z5" s="14" t="s">
        <v>49</v>
      </c>
      <c r="AA5" s="14" t="s">
        <v>50</v>
      </c>
      <c r="AB5" s="14" t="s">
        <v>49</v>
      </c>
      <c r="AC5" s="14" t="s">
        <v>50</v>
      </c>
      <c r="AD5" s="14" t="s">
        <v>49</v>
      </c>
      <c r="AE5" s="14" t="s">
        <v>50</v>
      </c>
      <c r="AF5" s="14" t="s">
        <v>49</v>
      </c>
      <c r="AG5" s="14" t="s">
        <v>50</v>
      </c>
      <c r="AH5" s="14" t="s">
        <v>49</v>
      </c>
      <c r="AI5" s="14" t="s">
        <v>50</v>
      </c>
      <c r="AJ5" s="14" t="s">
        <v>49</v>
      </c>
      <c r="AK5" s="14" t="s">
        <v>50</v>
      </c>
      <c r="AL5" s="14" t="s">
        <v>49</v>
      </c>
      <c r="AM5" s="14" t="s">
        <v>50</v>
      </c>
      <c r="AN5" s="14" t="s">
        <v>49</v>
      </c>
      <c r="AO5" s="14" t="s">
        <v>50</v>
      </c>
      <c r="AP5" s="14" t="s">
        <v>49</v>
      </c>
      <c r="AQ5" s="14" t="s">
        <v>50</v>
      </c>
      <c r="AR5" s="14" t="s">
        <v>49</v>
      </c>
      <c r="AS5" s="14" t="s">
        <v>50</v>
      </c>
      <c r="AT5" s="14" t="s">
        <v>49</v>
      </c>
      <c r="AU5" s="14" t="s">
        <v>50</v>
      </c>
      <c r="AV5" s="14" t="s">
        <v>49</v>
      </c>
      <c r="AW5" s="14" t="s">
        <v>50</v>
      </c>
      <c r="AX5" s="14" t="s">
        <v>49</v>
      </c>
      <c r="AY5" s="14" t="s">
        <v>50</v>
      </c>
      <c r="AZ5" s="14" t="s">
        <v>49</v>
      </c>
      <c r="BA5" s="14" t="s">
        <v>50</v>
      </c>
      <c r="BB5" s="14" t="s">
        <v>49</v>
      </c>
      <c r="BC5" s="14" t="s">
        <v>50</v>
      </c>
      <c r="BD5" s="14" t="s">
        <v>49</v>
      </c>
      <c r="BE5" s="14" t="s">
        <v>50</v>
      </c>
      <c r="BF5" s="14" t="s">
        <v>49</v>
      </c>
      <c r="BG5" s="14" t="s">
        <v>50</v>
      </c>
      <c r="BH5" s="14" t="s">
        <v>49</v>
      </c>
      <c r="BI5" s="14" t="s">
        <v>50</v>
      </c>
      <c r="BJ5" s="14" t="s">
        <v>49</v>
      </c>
      <c r="BK5" s="14" t="s">
        <v>50</v>
      </c>
      <c r="BL5" s="15" t="s">
        <v>51</v>
      </c>
      <c r="BM5" s="15" t="s">
        <v>50</v>
      </c>
      <c r="BN5" s="22"/>
    </row>
    <row r="6" spans="1:67" x14ac:dyDescent="0.25">
      <c r="A6" s="8">
        <v>1</v>
      </c>
      <c r="B6" s="8" t="s">
        <v>52</v>
      </c>
      <c r="C6" s="16">
        <v>15</v>
      </c>
      <c r="D6" s="8">
        <v>10</v>
      </c>
      <c r="E6" s="8">
        <v>9</v>
      </c>
      <c r="F6" s="8">
        <v>8</v>
      </c>
      <c r="G6" s="8">
        <v>11</v>
      </c>
      <c r="H6" s="8">
        <v>11</v>
      </c>
      <c r="I6" s="8">
        <v>12</v>
      </c>
      <c r="J6" s="8">
        <v>7</v>
      </c>
      <c r="K6" s="8">
        <v>7</v>
      </c>
      <c r="L6" s="8">
        <v>12</v>
      </c>
      <c r="M6" s="8">
        <v>11</v>
      </c>
      <c r="N6" s="8">
        <v>9</v>
      </c>
      <c r="O6" s="8">
        <v>8</v>
      </c>
      <c r="P6" s="8">
        <v>10</v>
      </c>
      <c r="Q6" s="8">
        <v>9</v>
      </c>
      <c r="R6" s="8">
        <v>8</v>
      </c>
      <c r="S6" s="8">
        <v>11</v>
      </c>
      <c r="T6" s="8">
        <v>11</v>
      </c>
      <c r="U6" s="8">
        <v>12</v>
      </c>
      <c r="V6" s="8">
        <v>7</v>
      </c>
      <c r="W6" s="8">
        <v>7</v>
      </c>
      <c r="X6" s="8">
        <v>12</v>
      </c>
      <c r="Y6" s="8">
        <v>11</v>
      </c>
      <c r="Z6" s="8">
        <v>9</v>
      </c>
      <c r="AA6" s="8">
        <v>8</v>
      </c>
      <c r="AB6" s="8">
        <v>10</v>
      </c>
      <c r="AC6" s="8">
        <v>9</v>
      </c>
      <c r="AD6" s="8">
        <v>8</v>
      </c>
      <c r="AE6" s="8">
        <v>11</v>
      </c>
      <c r="AF6" s="8">
        <v>11</v>
      </c>
      <c r="AG6" s="8">
        <v>12</v>
      </c>
      <c r="AH6" s="8">
        <v>7</v>
      </c>
      <c r="AI6" s="8">
        <v>7</v>
      </c>
      <c r="AJ6" s="8">
        <v>12</v>
      </c>
      <c r="AK6" s="8">
        <v>11</v>
      </c>
      <c r="AL6" s="8">
        <v>9</v>
      </c>
      <c r="AM6" s="8">
        <v>8</v>
      </c>
      <c r="AN6" s="8">
        <v>10</v>
      </c>
      <c r="AO6" s="8">
        <v>9</v>
      </c>
      <c r="AP6" s="8">
        <v>8</v>
      </c>
      <c r="AQ6" s="8">
        <v>11</v>
      </c>
      <c r="AR6" s="8">
        <v>11</v>
      </c>
      <c r="AS6" s="8">
        <v>12</v>
      </c>
      <c r="AT6" s="8">
        <v>7</v>
      </c>
      <c r="AU6" s="8">
        <v>7</v>
      </c>
      <c r="AV6" s="8">
        <v>12</v>
      </c>
      <c r="AW6" s="8">
        <v>11</v>
      </c>
      <c r="AX6" s="8">
        <v>9</v>
      </c>
      <c r="AY6" s="8">
        <v>8</v>
      </c>
      <c r="AZ6" s="8">
        <v>8</v>
      </c>
      <c r="BA6" s="8">
        <v>11</v>
      </c>
      <c r="BB6" s="8">
        <v>11</v>
      </c>
      <c r="BC6" s="8">
        <v>12</v>
      </c>
      <c r="BD6" s="8">
        <v>7</v>
      </c>
      <c r="BE6" s="8">
        <v>7</v>
      </c>
      <c r="BF6" s="8">
        <v>12</v>
      </c>
      <c r="BG6" s="8">
        <v>11</v>
      </c>
      <c r="BH6" s="8">
        <v>9</v>
      </c>
      <c r="BI6" s="8">
        <v>8</v>
      </c>
      <c r="BJ6" s="8">
        <v>15</v>
      </c>
      <c r="BK6" s="8">
        <v>10</v>
      </c>
      <c r="BL6" s="8">
        <f>+BJ6+BH6+BF6+BD6+BB6+AZ6+AX6+AV6+AT6+AR6+AP6+AN6+AL6+AJ6+AH6+AF6+AD6+AB6+Z6+X6+V6+T6+R6+P6+N6+L6+J6+H6+F6+D6</f>
        <v>290</v>
      </c>
      <c r="BM6" s="8">
        <f>+BK6+BI6+BG6+BE6+BC6+BA6+AY6+AW6+AU6+AS6+AQ6+AO6+AM6+AK6+AI6+AG6+AE6+AC6+AA6+Y6+W6+U6+S6+Q6+O6+M6+K6+I6+G6+E6</f>
        <v>291</v>
      </c>
      <c r="BN6" s="17">
        <f>+C6+BL6-BM6</f>
        <v>14</v>
      </c>
      <c r="BO6" t="s">
        <v>53</v>
      </c>
    </row>
    <row r="7" spans="1:67" x14ac:dyDescent="0.25">
      <c r="A7" s="8">
        <v>2</v>
      </c>
      <c r="B7" s="8" t="s">
        <v>54</v>
      </c>
      <c r="C7" s="16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18"/>
      <c r="BN7" s="18"/>
      <c r="BO7" t="s">
        <v>55</v>
      </c>
    </row>
    <row r="8" spans="1:67" x14ac:dyDescent="0.25">
      <c r="A8" s="8">
        <v>3</v>
      </c>
      <c r="B8" s="8" t="s">
        <v>56</v>
      </c>
      <c r="C8" s="16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18"/>
      <c r="BN8" s="18"/>
      <c r="BO8" t="s">
        <v>57</v>
      </c>
    </row>
    <row r="9" spans="1:67" x14ac:dyDescent="0.25">
      <c r="A9" s="8">
        <v>4</v>
      </c>
      <c r="B9" s="8" t="s">
        <v>58</v>
      </c>
      <c r="C9" s="16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18"/>
      <c r="BN9" s="18"/>
    </row>
    <row r="10" spans="1:67" x14ac:dyDescent="0.25">
      <c r="A10" s="8">
        <v>5</v>
      </c>
      <c r="B10" s="8" t="s">
        <v>59</v>
      </c>
      <c r="C10" s="16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18"/>
      <c r="BN10" s="18"/>
    </row>
    <row r="11" spans="1:67" x14ac:dyDescent="0.25">
      <c r="A11" s="8">
        <v>6</v>
      </c>
      <c r="B11" s="8" t="s">
        <v>60</v>
      </c>
      <c r="C11" s="16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18"/>
      <c r="BN11" s="18"/>
    </row>
    <row r="12" spans="1:67" x14ac:dyDescent="0.25">
      <c r="A12" s="8">
        <v>7</v>
      </c>
      <c r="B12" s="8" t="s">
        <v>61</v>
      </c>
      <c r="C12" s="16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18"/>
      <c r="BN12" s="18"/>
    </row>
    <row r="13" spans="1:67" x14ac:dyDescent="0.25">
      <c r="A13" s="8">
        <v>8</v>
      </c>
      <c r="B13" s="8" t="s">
        <v>62</v>
      </c>
      <c r="C13" s="16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18"/>
      <c r="BN13" s="18"/>
    </row>
    <row r="14" spans="1:67" x14ac:dyDescent="0.25">
      <c r="A14" s="8">
        <v>9</v>
      </c>
      <c r="B14" s="8" t="s">
        <v>63</v>
      </c>
      <c r="C14" s="16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18"/>
      <c r="BN14" s="18"/>
    </row>
    <row r="15" spans="1:67" x14ac:dyDescent="0.25">
      <c r="A15" s="8">
        <v>10</v>
      </c>
      <c r="B15" s="8" t="s">
        <v>64</v>
      </c>
      <c r="C15" s="16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18"/>
      <c r="BN15" s="18"/>
    </row>
    <row r="16" spans="1:67" x14ac:dyDescent="0.25">
      <c r="A16" s="8">
        <v>11</v>
      </c>
      <c r="B16" s="8" t="s">
        <v>65</v>
      </c>
      <c r="C16" s="16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18"/>
      <c r="BN16" s="18"/>
    </row>
    <row r="17" spans="1:66" x14ac:dyDescent="0.25">
      <c r="A17" s="8">
        <v>12</v>
      </c>
      <c r="B17" s="8" t="s">
        <v>66</v>
      </c>
      <c r="C17" s="16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18"/>
      <c r="BN17" s="18"/>
    </row>
    <row r="18" spans="1:66" x14ac:dyDescent="0.25">
      <c r="A18" s="8">
        <v>13</v>
      </c>
      <c r="B18" s="8" t="s">
        <v>67</v>
      </c>
      <c r="C18" s="16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18"/>
      <c r="BN18" s="18"/>
    </row>
    <row r="19" spans="1:66" x14ac:dyDescent="0.25">
      <c r="A19" s="8">
        <v>14</v>
      </c>
      <c r="B19" s="8" t="s">
        <v>68</v>
      </c>
      <c r="C19" s="16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18"/>
      <c r="BN19" s="18"/>
    </row>
    <row r="20" spans="1:66" x14ac:dyDescent="0.25">
      <c r="A20" s="8">
        <v>15</v>
      </c>
      <c r="B20" s="8" t="s">
        <v>69</v>
      </c>
      <c r="C20" s="16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18"/>
      <c r="BN20" s="18"/>
    </row>
    <row r="21" spans="1:66" x14ac:dyDescent="0.25">
      <c r="A21" s="8">
        <v>16</v>
      </c>
      <c r="B21" s="8" t="s">
        <v>70</v>
      </c>
      <c r="C21" s="16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18"/>
      <c r="BN21" s="18"/>
    </row>
    <row r="22" spans="1:66" x14ac:dyDescent="0.25">
      <c r="A22" s="8">
        <v>17</v>
      </c>
      <c r="B22" s="8" t="s">
        <v>71</v>
      </c>
      <c r="C22" s="16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18"/>
      <c r="BN22" s="18"/>
    </row>
    <row r="23" spans="1:66" x14ac:dyDescent="0.25">
      <c r="A23" s="8">
        <v>18</v>
      </c>
      <c r="B23" s="8" t="s">
        <v>72</v>
      </c>
      <c r="C23" s="16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18"/>
      <c r="BN23" s="18"/>
    </row>
    <row r="24" spans="1:66" x14ac:dyDescent="0.25">
      <c r="A24" s="8">
        <v>19</v>
      </c>
      <c r="B24" s="8" t="s">
        <v>73</v>
      </c>
      <c r="C24" s="16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18"/>
      <c r="BN24" s="18"/>
    </row>
    <row r="25" spans="1:66" x14ac:dyDescent="0.25">
      <c r="A25" s="8">
        <v>20</v>
      </c>
      <c r="B25" s="8" t="s">
        <v>74</v>
      </c>
      <c r="C25" s="16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18"/>
      <c r="BN25" s="18"/>
    </row>
    <row r="26" spans="1:66" x14ac:dyDescent="0.25">
      <c r="A26" s="8">
        <v>21</v>
      </c>
      <c r="B26" s="8" t="s">
        <v>75</v>
      </c>
      <c r="C26" s="16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18"/>
      <c r="BN26" s="18"/>
    </row>
    <row r="27" spans="1:66" x14ac:dyDescent="0.25">
      <c r="A27" s="8">
        <v>22</v>
      </c>
      <c r="B27" s="8" t="s">
        <v>76</v>
      </c>
      <c r="C27" s="16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18"/>
      <c r="BN27" s="18"/>
    </row>
    <row r="28" spans="1:66" x14ac:dyDescent="0.25">
      <c r="A28" s="8">
        <v>23</v>
      </c>
      <c r="B28" s="8" t="s">
        <v>77</v>
      </c>
      <c r="C28" s="16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18"/>
      <c r="BN28" s="18"/>
    </row>
    <row r="29" spans="1:66" x14ac:dyDescent="0.25">
      <c r="A29" s="8">
        <v>24</v>
      </c>
      <c r="B29" s="8" t="s">
        <v>78</v>
      </c>
      <c r="C29" s="16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18"/>
      <c r="BN29" s="18"/>
    </row>
    <row r="30" spans="1:66" x14ac:dyDescent="0.25">
      <c r="A30" s="8">
        <v>25</v>
      </c>
      <c r="B30" s="8" t="s">
        <v>79</v>
      </c>
      <c r="C30" s="16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18"/>
      <c r="BN30" s="18"/>
    </row>
    <row r="31" spans="1:66" x14ac:dyDescent="0.25">
      <c r="A31" s="8">
        <v>26</v>
      </c>
      <c r="B31" s="8" t="s">
        <v>80</v>
      </c>
      <c r="C31" s="16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18"/>
      <c r="BN31" s="18"/>
    </row>
    <row r="32" spans="1:66" x14ac:dyDescent="0.25">
      <c r="A32" s="8">
        <v>27</v>
      </c>
      <c r="B32" s="8" t="s">
        <v>81</v>
      </c>
      <c r="C32" s="16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18"/>
      <c r="BN32" s="18"/>
    </row>
    <row r="33" spans="1:66" x14ac:dyDescent="0.25">
      <c r="A33" s="8">
        <v>28</v>
      </c>
      <c r="B33" s="8" t="s">
        <v>82</v>
      </c>
      <c r="C33" s="16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18"/>
      <c r="BN33" s="18"/>
    </row>
    <row r="34" spans="1:66" x14ac:dyDescent="0.25">
      <c r="A34" s="8">
        <v>29</v>
      </c>
      <c r="B34" s="8" t="s">
        <v>83</v>
      </c>
      <c r="C34" s="16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18"/>
      <c r="BN34" s="18"/>
    </row>
    <row r="35" spans="1:66" x14ac:dyDescent="0.25">
      <c r="A35" s="8">
        <v>30</v>
      </c>
      <c r="B35" s="8" t="s">
        <v>84</v>
      </c>
      <c r="C35" s="16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18"/>
      <c r="BN35" s="18"/>
    </row>
    <row r="36" spans="1:66" x14ac:dyDescent="0.25">
      <c r="A36" s="8">
        <v>31</v>
      </c>
      <c r="B36" s="8" t="s">
        <v>85</v>
      </c>
      <c r="C36" s="16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18"/>
      <c r="BN36" s="18"/>
    </row>
    <row r="37" spans="1:66" x14ac:dyDescent="0.25">
      <c r="A37" s="8">
        <v>32</v>
      </c>
      <c r="B37" s="8" t="s">
        <v>86</v>
      </c>
      <c r="C37" s="16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18"/>
      <c r="BN37" s="18"/>
    </row>
    <row r="38" spans="1:66" x14ac:dyDescent="0.25">
      <c r="A38" s="8">
        <v>33</v>
      </c>
      <c r="B38" s="8" t="s">
        <v>87</v>
      </c>
      <c r="C38" s="16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18"/>
      <c r="BN38" s="18"/>
    </row>
    <row r="39" spans="1:66" x14ac:dyDescent="0.25">
      <c r="A39" s="8">
        <v>34</v>
      </c>
      <c r="B39" s="8" t="s">
        <v>88</v>
      </c>
      <c r="C39" s="16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18"/>
      <c r="BN39" s="18"/>
    </row>
    <row r="40" spans="1:66" x14ac:dyDescent="0.25">
      <c r="A40" s="8">
        <v>35</v>
      </c>
      <c r="B40" s="8" t="s">
        <v>89</v>
      </c>
      <c r="C40" s="16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18"/>
      <c r="BN40" s="18"/>
    </row>
    <row r="41" spans="1:66" x14ac:dyDescent="0.25">
      <c r="A41" s="8">
        <v>36</v>
      </c>
      <c r="B41" s="8" t="s">
        <v>90</v>
      </c>
      <c r="C41" s="16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18"/>
      <c r="BN41" s="18"/>
    </row>
    <row r="42" spans="1:66" x14ac:dyDescent="0.25">
      <c r="A42" s="8">
        <v>37</v>
      </c>
      <c r="B42" s="8" t="s">
        <v>91</v>
      </c>
      <c r="C42" s="16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18"/>
      <c r="BN42" s="18"/>
    </row>
    <row r="43" spans="1:66" x14ac:dyDescent="0.25">
      <c r="A43" s="8">
        <v>38</v>
      </c>
      <c r="B43" s="8" t="s">
        <v>92</v>
      </c>
      <c r="C43" s="16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18"/>
      <c r="BN43" s="18"/>
    </row>
    <row r="44" spans="1:66" x14ac:dyDescent="0.25">
      <c r="A44" s="8">
        <v>39</v>
      </c>
      <c r="B44" s="8" t="s">
        <v>93</v>
      </c>
      <c r="C44" s="16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18"/>
      <c r="BN44" s="18"/>
    </row>
    <row r="45" spans="1:66" x14ac:dyDescent="0.25">
      <c r="A45" s="8">
        <v>40</v>
      </c>
      <c r="B45" s="8" t="s">
        <v>94</v>
      </c>
      <c r="C45" s="16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18"/>
      <c r="BN45" s="18"/>
    </row>
    <row r="46" spans="1:66" x14ac:dyDescent="0.25">
      <c r="A46" s="8">
        <v>41</v>
      </c>
      <c r="B46" s="8" t="s">
        <v>95</v>
      </c>
      <c r="C46" s="16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18"/>
      <c r="BN46" s="18"/>
    </row>
    <row r="47" spans="1:66" x14ac:dyDescent="0.25">
      <c r="A47" s="8">
        <v>42</v>
      </c>
      <c r="B47" s="8" t="s">
        <v>96</v>
      </c>
      <c r="C47" s="16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18"/>
      <c r="BN47" s="18"/>
    </row>
    <row r="48" spans="1:66" x14ac:dyDescent="0.25">
      <c r="A48" s="8">
        <v>43</v>
      </c>
      <c r="B48" s="8" t="s">
        <v>97</v>
      </c>
      <c r="C48" s="16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18"/>
      <c r="BN48" s="18"/>
    </row>
    <row r="49" spans="1:66" x14ac:dyDescent="0.25">
      <c r="A49" s="8">
        <v>44</v>
      </c>
      <c r="B49" s="8" t="s">
        <v>98</v>
      </c>
      <c r="C49" s="16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18"/>
      <c r="BN49" s="18"/>
    </row>
    <row r="50" spans="1:66" x14ac:dyDescent="0.25">
      <c r="A50" s="8">
        <v>45</v>
      </c>
      <c r="B50" s="8" t="s">
        <v>99</v>
      </c>
      <c r="C50" s="16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18"/>
      <c r="BN50" s="18"/>
    </row>
    <row r="51" spans="1:66" x14ac:dyDescent="0.25">
      <c r="A51" s="8">
        <v>46</v>
      </c>
      <c r="B51" s="8" t="s">
        <v>100</v>
      </c>
      <c r="C51" s="16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18"/>
      <c r="BN51" s="18"/>
    </row>
    <row r="52" spans="1:66" x14ac:dyDescent="0.25">
      <c r="A52" s="8">
        <v>47</v>
      </c>
      <c r="B52" s="8" t="s">
        <v>101</v>
      </c>
      <c r="C52" s="16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18"/>
      <c r="BN52" s="18"/>
    </row>
    <row r="53" spans="1:66" x14ac:dyDescent="0.25">
      <c r="A53" s="8">
        <v>48</v>
      </c>
      <c r="B53" s="8" t="s">
        <v>102</v>
      </c>
      <c r="C53" s="16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18"/>
      <c r="BN53" s="18"/>
    </row>
    <row r="54" spans="1:66" x14ac:dyDescent="0.25">
      <c r="A54" s="8">
        <v>49</v>
      </c>
      <c r="B54" s="8" t="s">
        <v>103</v>
      </c>
      <c r="C54" s="16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18"/>
      <c r="BN54" s="18"/>
    </row>
    <row r="55" spans="1:66" x14ac:dyDescent="0.25">
      <c r="A55" s="8">
        <v>50</v>
      </c>
      <c r="B55" s="8" t="s">
        <v>104</v>
      </c>
      <c r="C55" s="16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18"/>
      <c r="BN55" s="18"/>
    </row>
    <row r="56" spans="1:66" x14ac:dyDescent="0.25">
      <c r="A56" s="8">
        <v>51</v>
      </c>
      <c r="B56" s="8" t="s">
        <v>105</v>
      </c>
      <c r="C56" s="16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18"/>
      <c r="BN56" s="18"/>
    </row>
    <row r="57" spans="1:66" x14ac:dyDescent="0.25">
      <c r="A57" s="8">
        <v>52</v>
      </c>
      <c r="B57" s="8" t="s">
        <v>106</v>
      </c>
      <c r="C57" s="16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18"/>
      <c r="BN57" s="18"/>
    </row>
    <row r="58" spans="1:66" x14ac:dyDescent="0.25">
      <c r="A58" s="8">
        <v>53</v>
      </c>
      <c r="B58" s="8" t="s">
        <v>107</v>
      </c>
      <c r="C58" s="16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18"/>
      <c r="BN58" s="18"/>
    </row>
    <row r="59" spans="1:66" x14ac:dyDescent="0.25">
      <c r="A59" s="8">
        <v>54</v>
      </c>
      <c r="B59" s="8" t="s">
        <v>108</v>
      </c>
      <c r="C59" s="16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18"/>
      <c r="BN59" s="18"/>
    </row>
    <row r="60" spans="1:66" x14ac:dyDescent="0.25">
      <c r="A60" s="8">
        <v>55</v>
      </c>
      <c r="B60" s="8" t="s">
        <v>109</v>
      </c>
      <c r="C60" s="16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18"/>
      <c r="BN60" s="18"/>
    </row>
    <row r="61" spans="1:66" x14ac:dyDescent="0.25">
      <c r="A61" s="8">
        <v>56</v>
      </c>
      <c r="B61" s="8" t="s">
        <v>110</v>
      </c>
      <c r="C61" s="16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18"/>
      <c r="BN61" s="18"/>
    </row>
    <row r="62" spans="1:66" x14ac:dyDescent="0.25">
      <c r="A62" s="8">
        <v>57</v>
      </c>
      <c r="B62" s="8" t="s">
        <v>111</v>
      </c>
      <c r="C62" s="16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18"/>
      <c r="BN62" s="18"/>
    </row>
    <row r="63" spans="1:66" x14ac:dyDescent="0.25">
      <c r="A63" s="8">
        <v>58</v>
      </c>
      <c r="B63" s="8" t="s">
        <v>112</v>
      </c>
      <c r="C63" s="16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18"/>
      <c r="BN63" s="18"/>
    </row>
    <row r="64" spans="1:66" x14ac:dyDescent="0.25">
      <c r="A64" s="8">
        <v>59</v>
      </c>
      <c r="B64" s="8" t="s">
        <v>113</v>
      </c>
      <c r="C64" s="16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18"/>
      <c r="BN64" s="18"/>
    </row>
    <row r="65" spans="1:66" x14ac:dyDescent="0.25">
      <c r="A65" s="8">
        <v>60</v>
      </c>
      <c r="B65" s="8" t="s">
        <v>114</v>
      </c>
      <c r="C65" s="16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18"/>
      <c r="BN65" s="18"/>
    </row>
    <row r="66" spans="1:66" x14ac:dyDescent="0.25">
      <c r="A66" s="8">
        <v>61</v>
      </c>
      <c r="B66" s="8" t="s">
        <v>115</v>
      </c>
      <c r="C66" s="16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18"/>
      <c r="BN66" s="18"/>
    </row>
    <row r="67" spans="1:66" x14ac:dyDescent="0.25">
      <c r="A67" s="8">
        <v>62</v>
      </c>
      <c r="B67" s="8" t="s">
        <v>116</v>
      </c>
      <c r="C67" s="16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18"/>
      <c r="BN67" s="18"/>
    </row>
    <row r="68" spans="1:66" x14ac:dyDescent="0.25">
      <c r="A68" s="8">
        <v>63</v>
      </c>
      <c r="B68" s="8" t="s">
        <v>117</v>
      </c>
      <c r="C68" s="16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18"/>
      <c r="BN68" s="18"/>
    </row>
    <row r="69" spans="1:66" x14ac:dyDescent="0.25">
      <c r="A69" s="8">
        <v>64</v>
      </c>
      <c r="B69" s="8" t="s">
        <v>118</v>
      </c>
      <c r="C69" s="16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18"/>
      <c r="BN69" s="18"/>
    </row>
    <row r="70" spans="1:66" x14ac:dyDescent="0.25">
      <c r="A70" s="8">
        <v>65</v>
      </c>
      <c r="B70" s="8" t="s">
        <v>119</v>
      </c>
      <c r="C70" s="16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18"/>
      <c r="BN70" s="18"/>
    </row>
    <row r="71" spans="1:66" x14ac:dyDescent="0.25">
      <c r="A71" s="8">
        <v>66</v>
      </c>
      <c r="B71" s="8" t="s">
        <v>120</v>
      </c>
      <c r="C71" s="16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18"/>
      <c r="BN71" s="18"/>
    </row>
    <row r="72" spans="1:66" x14ac:dyDescent="0.25">
      <c r="A72" s="8">
        <v>67</v>
      </c>
      <c r="B72" s="8" t="s">
        <v>121</v>
      </c>
      <c r="C72" s="16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18"/>
      <c r="BN72" s="18"/>
    </row>
    <row r="73" spans="1:66" x14ac:dyDescent="0.25">
      <c r="A73" s="8">
        <v>68</v>
      </c>
      <c r="B73" s="8" t="s">
        <v>122</v>
      </c>
      <c r="C73" s="16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18"/>
      <c r="BN73" s="18"/>
    </row>
    <row r="74" spans="1:66" x14ac:dyDescent="0.25">
      <c r="A74" s="8">
        <v>69</v>
      </c>
      <c r="B74" s="8" t="s">
        <v>123</v>
      </c>
      <c r="C74" s="16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18"/>
      <c r="BN74" s="18"/>
    </row>
    <row r="75" spans="1:66" x14ac:dyDescent="0.25">
      <c r="A75" s="8">
        <v>70</v>
      </c>
      <c r="B75" s="8" t="s">
        <v>124</v>
      </c>
      <c r="C75" s="16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18"/>
      <c r="BN75" s="18"/>
    </row>
    <row r="76" spans="1:66" x14ac:dyDescent="0.25">
      <c r="A76" s="8">
        <v>71</v>
      </c>
      <c r="B76" s="8" t="s">
        <v>125</v>
      </c>
      <c r="C76" s="16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18"/>
      <c r="BN76" s="18"/>
    </row>
    <row r="77" spans="1:66" x14ac:dyDescent="0.25">
      <c r="A77" s="8">
        <v>72</v>
      </c>
      <c r="B77" s="8" t="s">
        <v>126</v>
      </c>
      <c r="C77" s="16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18"/>
      <c r="BN77" s="18"/>
    </row>
    <row r="78" spans="1:66" x14ac:dyDescent="0.25">
      <c r="A78" s="8">
        <v>73</v>
      </c>
      <c r="B78" s="8" t="s">
        <v>127</v>
      </c>
      <c r="C78" s="16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18"/>
      <c r="BN78" s="18"/>
    </row>
    <row r="79" spans="1:66" x14ac:dyDescent="0.25">
      <c r="A79" s="8">
        <v>74</v>
      </c>
      <c r="B79" s="8" t="s">
        <v>128</v>
      </c>
      <c r="C79" s="16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18"/>
      <c r="BN79" s="18"/>
    </row>
    <row r="80" spans="1:66" x14ac:dyDescent="0.25">
      <c r="A80" s="8">
        <v>75</v>
      </c>
      <c r="B80" s="8" t="s">
        <v>129</v>
      </c>
      <c r="C80" s="16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18"/>
      <c r="BN80" s="18"/>
    </row>
    <row r="81" spans="1:66" x14ac:dyDescent="0.25">
      <c r="A81" s="8">
        <v>76</v>
      </c>
      <c r="B81" s="8" t="s">
        <v>130</v>
      </c>
      <c r="C81" s="16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18"/>
      <c r="BN81" s="18"/>
    </row>
    <row r="82" spans="1:66" x14ac:dyDescent="0.25">
      <c r="A82" s="8">
        <v>77</v>
      </c>
      <c r="B82" s="8" t="s">
        <v>131</v>
      </c>
      <c r="C82" s="16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18"/>
      <c r="BN82" s="18"/>
    </row>
    <row r="83" spans="1:66" x14ac:dyDescent="0.25">
      <c r="A83" s="8">
        <v>78</v>
      </c>
      <c r="B83" s="8" t="s">
        <v>132</v>
      </c>
      <c r="C83" s="16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18"/>
      <c r="BN83" s="18"/>
    </row>
    <row r="84" spans="1:66" x14ac:dyDescent="0.25">
      <c r="A84" s="8">
        <v>79</v>
      </c>
      <c r="B84" s="8" t="s">
        <v>133</v>
      </c>
      <c r="C84" s="16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18"/>
      <c r="BN84" s="18"/>
    </row>
    <row r="85" spans="1:66" x14ac:dyDescent="0.25">
      <c r="A85" s="8">
        <v>80</v>
      </c>
      <c r="B85" s="8" t="s">
        <v>134</v>
      </c>
      <c r="C85" s="16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18"/>
      <c r="BN85" s="18"/>
    </row>
    <row r="86" spans="1:66" x14ac:dyDescent="0.25">
      <c r="A86" s="8">
        <v>81</v>
      </c>
      <c r="B86" s="8" t="s">
        <v>135</v>
      </c>
      <c r="C86" s="16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18"/>
      <c r="BN86" s="18"/>
    </row>
    <row r="87" spans="1:66" x14ac:dyDescent="0.25">
      <c r="A87" s="8">
        <v>82</v>
      </c>
      <c r="B87" s="8" t="s">
        <v>136</v>
      </c>
      <c r="C87" s="16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18"/>
      <c r="BN87" s="18"/>
    </row>
    <row r="88" spans="1:66" x14ac:dyDescent="0.25">
      <c r="A88" s="8">
        <v>83</v>
      </c>
      <c r="B88" s="8" t="s">
        <v>137</v>
      </c>
      <c r="C88" s="16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18"/>
      <c r="BN88" s="18"/>
    </row>
    <row r="89" spans="1:66" x14ac:dyDescent="0.25">
      <c r="A89" s="8">
        <v>84</v>
      </c>
      <c r="B89" s="8" t="s">
        <v>138</v>
      </c>
      <c r="C89" s="16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18"/>
      <c r="BN89" s="18"/>
    </row>
    <row r="90" spans="1:66" x14ac:dyDescent="0.25">
      <c r="A90" s="8">
        <v>85</v>
      </c>
      <c r="B90" s="8" t="s">
        <v>139</v>
      </c>
      <c r="C90" s="16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18"/>
      <c r="BN90" s="18"/>
    </row>
    <row r="91" spans="1:66" x14ac:dyDescent="0.25">
      <c r="A91" s="8">
        <v>86</v>
      </c>
      <c r="B91" s="8" t="s">
        <v>140</v>
      </c>
      <c r="C91" s="16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18"/>
      <c r="BN91" s="18"/>
    </row>
    <row r="92" spans="1:66" x14ac:dyDescent="0.25">
      <c r="A92" s="8">
        <v>87</v>
      </c>
      <c r="B92" s="8" t="s">
        <v>141</v>
      </c>
      <c r="C92" s="16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18"/>
      <c r="BN92" s="18"/>
    </row>
    <row r="93" spans="1:66" x14ac:dyDescent="0.25">
      <c r="A93" s="8">
        <v>88</v>
      </c>
      <c r="B93" s="8" t="s">
        <v>142</v>
      </c>
      <c r="C93" s="16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18"/>
      <c r="BN93" s="18"/>
    </row>
    <row r="94" spans="1:66" x14ac:dyDescent="0.25">
      <c r="A94" s="8">
        <v>89</v>
      </c>
      <c r="B94" s="8" t="s">
        <v>143</v>
      </c>
      <c r="C94" s="16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18"/>
      <c r="BN94" s="18"/>
    </row>
    <row r="95" spans="1:66" x14ac:dyDescent="0.25">
      <c r="A95" s="8">
        <v>90</v>
      </c>
      <c r="B95" s="8" t="s">
        <v>144</v>
      </c>
      <c r="C95" s="16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18"/>
      <c r="BN95" s="18"/>
    </row>
    <row r="96" spans="1:66" x14ac:dyDescent="0.25">
      <c r="A96" s="8">
        <v>91</v>
      </c>
      <c r="B96" s="8" t="s">
        <v>145</v>
      </c>
      <c r="C96" s="16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18"/>
      <c r="BN96" s="18"/>
    </row>
    <row r="97" spans="1:66" x14ac:dyDescent="0.25">
      <c r="A97" s="8">
        <v>92</v>
      </c>
      <c r="B97" s="8" t="s">
        <v>146</v>
      </c>
      <c r="C97" s="16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18"/>
      <c r="BN97" s="18"/>
    </row>
    <row r="98" spans="1:66" x14ac:dyDescent="0.25">
      <c r="A98" s="8">
        <v>93</v>
      </c>
      <c r="B98" s="8" t="s">
        <v>147</v>
      </c>
      <c r="C98" s="16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18"/>
      <c r="BN98" s="18"/>
    </row>
    <row r="99" spans="1:66" x14ac:dyDescent="0.25">
      <c r="A99" s="8">
        <v>94</v>
      </c>
      <c r="B99" s="8" t="s">
        <v>148</v>
      </c>
      <c r="C99" s="16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18"/>
      <c r="BN99" s="18"/>
    </row>
    <row r="100" spans="1:66" x14ac:dyDescent="0.25">
      <c r="A100" s="8">
        <v>95</v>
      </c>
      <c r="B100" s="8" t="s">
        <v>149</v>
      </c>
      <c r="C100" s="16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18"/>
      <c r="BN100" s="18"/>
    </row>
    <row r="101" spans="1:66" x14ac:dyDescent="0.25">
      <c r="A101" s="8">
        <v>96</v>
      </c>
      <c r="B101" s="8" t="s">
        <v>150</v>
      </c>
      <c r="C101" s="16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18"/>
      <c r="BN101" s="18"/>
    </row>
    <row r="102" spans="1:66" x14ac:dyDescent="0.25">
      <c r="A102" s="8">
        <v>97</v>
      </c>
      <c r="B102" s="8" t="s">
        <v>151</v>
      </c>
      <c r="C102" s="16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18"/>
      <c r="BN102" s="18"/>
    </row>
    <row r="103" spans="1:66" x14ac:dyDescent="0.25">
      <c r="A103" s="8">
        <v>98</v>
      </c>
      <c r="B103" s="8" t="s">
        <v>152</v>
      </c>
      <c r="C103" s="16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18"/>
      <c r="BN103" s="18"/>
    </row>
    <row r="104" spans="1:66" x14ac:dyDescent="0.25">
      <c r="A104" s="8">
        <v>99</v>
      </c>
      <c r="B104" s="8" t="s">
        <v>153</v>
      </c>
      <c r="C104" s="16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18"/>
      <c r="BN104" s="18"/>
    </row>
    <row r="105" spans="1:66" x14ac:dyDescent="0.25">
      <c r="A105" s="8">
        <v>100</v>
      </c>
      <c r="B105" s="8" t="s">
        <v>154</v>
      </c>
      <c r="C105" s="16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18"/>
      <c r="BN105" s="18"/>
    </row>
    <row r="106" spans="1:66" x14ac:dyDescent="0.25">
      <c r="A106" s="8">
        <v>101</v>
      </c>
      <c r="B106" s="8" t="s">
        <v>155</v>
      </c>
      <c r="C106" s="16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18"/>
      <c r="BN106" s="18"/>
    </row>
    <row r="107" spans="1:66" x14ac:dyDescent="0.25">
      <c r="A107" s="8">
        <v>102</v>
      </c>
      <c r="B107" s="8" t="s">
        <v>156</v>
      </c>
      <c r="C107" s="16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18"/>
      <c r="BN107" s="18"/>
    </row>
    <row r="108" spans="1:66" x14ac:dyDescent="0.25">
      <c r="A108" s="8">
        <v>103</v>
      </c>
      <c r="B108" s="8" t="s">
        <v>157</v>
      </c>
      <c r="C108" s="16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18"/>
      <c r="BN108" s="18"/>
    </row>
    <row r="109" spans="1:66" x14ac:dyDescent="0.25">
      <c r="A109" s="8">
        <v>104</v>
      </c>
      <c r="B109" s="8" t="s">
        <v>158</v>
      </c>
      <c r="C109" s="16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18"/>
      <c r="BN109" s="18"/>
    </row>
    <row r="110" spans="1:66" x14ac:dyDescent="0.25">
      <c r="A110" s="8">
        <v>105</v>
      </c>
      <c r="B110" s="8" t="s">
        <v>159</v>
      </c>
      <c r="C110" s="16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18"/>
      <c r="BN110" s="18"/>
    </row>
    <row r="111" spans="1:66" x14ac:dyDescent="0.25">
      <c r="A111" s="8">
        <v>106</v>
      </c>
      <c r="B111" s="8" t="s">
        <v>160</v>
      </c>
      <c r="C111" s="16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18"/>
      <c r="BN111" s="18"/>
    </row>
    <row r="112" spans="1:66" x14ac:dyDescent="0.25">
      <c r="A112" s="8">
        <v>107</v>
      </c>
      <c r="B112" s="8" t="s">
        <v>161</v>
      </c>
      <c r="C112" s="16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18"/>
      <c r="BN112" s="18"/>
    </row>
    <row r="113" spans="1:66" x14ac:dyDescent="0.25">
      <c r="A113" s="8">
        <v>108</v>
      </c>
      <c r="B113" s="8" t="s">
        <v>162</v>
      </c>
      <c r="C113" s="16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18"/>
      <c r="BN113" s="18"/>
    </row>
    <row r="114" spans="1:66" x14ac:dyDescent="0.25">
      <c r="A114" s="8">
        <v>109</v>
      </c>
      <c r="B114" s="8" t="s">
        <v>163</v>
      </c>
      <c r="C114" s="16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18"/>
      <c r="BN114" s="18"/>
    </row>
    <row r="115" spans="1:66" x14ac:dyDescent="0.25">
      <c r="A115" s="8">
        <v>110</v>
      </c>
      <c r="B115" s="8" t="s">
        <v>164</v>
      </c>
      <c r="C115" s="16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18"/>
      <c r="BN115" s="18"/>
    </row>
    <row r="116" spans="1:66" x14ac:dyDescent="0.25">
      <c r="A116" s="8">
        <v>111</v>
      </c>
      <c r="B116" s="8" t="s">
        <v>165</v>
      </c>
      <c r="C116" s="16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18"/>
      <c r="BN116" s="18"/>
    </row>
    <row r="117" spans="1:66" x14ac:dyDescent="0.25">
      <c r="A117" s="8">
        <v>112</v>
      </c>
      <c r="B117" s="8" t="s">
        <v>166</v>
      </c>
      <c r="C117" s="16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18"/>
      <c r="BN117" s="18"/>
    </row>
    <row r="118" spans="1:66" x14ac:dyDescent="0.25">
      <c r="A118" s="8">
        <v>113</v>
      </c>
      <c r="B118" s="8" t="s">
        <v>167</v>
      </c>
      <c r="C118" s="16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18"/>
      <c r="BN118" s="18"/>
    </row>
    <row r="119" spans="1:66" x14ac:dyDescent="0.25">
      <c r="A119" s="8">
        <v>114</v>
      </c>
      <c r="B119" s="8" t="s">
        <v>168</v>
      </c>
      <c r="C119" s="16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18"/>
      <c r="BN119" s="18"/>
    </row>
    <row r="120" spans="1:66" x14ac:dyDescent="0.25">
      <c r="A120" s="8">
        <v>115</v>
      </c>
      <c r="B120" s="8" t="s">
        <v>169</v>
      </c>
      <c r="C120" s="16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18"/>
      <c r="BN120" s="18"/>
    </row>
    <row r="121" spans="1:66" x14ac:dyDescent="0.25">
      <c r="A121" s="8">
        <v>116</v>
      </c>
      <c r="B121" s="8" t="s">
        <v>170</v>
      </c>
      <c r="C121" s="16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18"/>
      <c r="BN121" s="18"/>
    </row>
    <row r="122" spans="1:66" x14ac:dyDescent="0.25">
      <c r="A122" s="8">
        <v>117</v>
      </c>
      <c r="B122" s="8" t="s">
        <v>171</v>
      </c>
      <c r="C122" s="16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18"/>
      <c r="BN122" s="18"/>
    </row>
    <row r="123" spans="1:66" x14ac:dyDescent="0.25">
      <c r="A123" s="8">
        <v>118</v>
      </c>
      <c r="B123" s="8" t="s">
        <v>172</v>
      </c>
      <c r="C123" s="16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18"/>
      <c r="BN123" s="18"/>
    </row>
    <row r="124" spans="1:66" x14ac:dyDescent="0.25">
      <c r="A124" s="8">
        <v>119</v>
      </c>
      <c r="B124" s="8" t="s">
        <v>173</v>
      </c>
      <c r="C124" s="16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18"/>
      <c r="BN124" s="18"/>
    </row>
    <row r="125" spans="1:66" x14ac:dyDescent="0.25">
      <c r="A125" s="8">
        <v>120</v>
      </c>
      <c r="B125" s="8" t="s">
        <v>174</v>
      </c>
      <c r="C125" s="16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18"/>
      <c r="BN125" s="18"/>
    </row>
    <row r="126" spans="1:66" x14ac:dyDescent="0.25">
      <c r="A126" s="8">
        <v>121</v>
      </c>
      <c r="B126" s="8" t="s">
        <v>175</v>
      </c>
      <c r="C126" s="16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18"/>
      <c r="BN126" s="18"/>
    </row>
    <row r="127" spans="1:66" x14ac:dyDescent="0.25">
      <c r="A127" s="8">
        <v>122</v>
      </c>
      <c r="B127" s="8" t="s">
        <v>176</v>
      </c>
      <c r="C127" s="16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18"/>
      <c r="BN127" s="18"/>
    </row>
    <row r="128" spans="1:66" x14ac:dyDescent="0.25">
      <c r="A128" s="8">
        <v>123</v>
      </c>
      <c r="B128" s="8" t="s">
        <v>177</v>
      </c>
      <c r="C128" s="16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18"/>
      <c r="BN128" s="18"/>
    </row>
    <row r="129" spans="1:66" x14ac:dyDescent="0.25">
      <c r="A129" s="8">
        <v>124</v>
      </c>
      <c r="B129" s="8" t="s">
        <v>178</v>
      </c>
      <c r="C129" s="16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18"/>
      <c r="BN129" s="18"/>
    </row>
    <row r="130" spans="1:66" x14ac:dyDescent="0.25">
      <c r="A130" s="8">
        <v>125</v>
      </c>
      <c r="B130" s="8" t="s">
        <v>179</v>
      </c>
      <c r="C130" s="16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18"/>
      <c r="BN130" s="18"/>
    </row>
    <row r="131" spans="1:66" x14ac:dyDescent="0.25">
      <c r="A131" s="8">
        <v>126</v>
      </c>
      <c r="B131" s="8" t="s">
        <v>180</v>
      </c>
      <c r="C131" s="16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18"/>
      <c r="BN131" s="18"/>
    </row>
    <row r="132" spans="1:66" x14ac:dyDescent="0.25">
      <c r="A132" s="23" t="s">
        <v>181</v>
      </c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  <c r="AW132" s="24"/>
      <c r="AX132" s="24"/>
      <c r="AY132" s="24"/>
      <c r="AZ132" s="24"/>
      <c r="BA132" s="24"/>
      <c r="BB132" s="24"/>
      <c r="BC132" s="24"/>
      <c r="BD132" s="24"/>
      <c r="BE132" s="24"/>
      <c r="BF132" s="24"/>
      <c r="BG132" s="24"/>
      <c r="BH132" s="24"/>
      <c r="BI132" s="24"/>
      <c r="BJ132" s="24"/>
      <c r="BK132" s="24"/>
      <c r="BL132" s="24"/>
      <c r="BM132" s="24"/>
      <c r="BN132" s="25"/>
    </row>
    <row r="133" spans="1:66" ht="75" customHeight="1" x14ac:dyDescent="0.25">
      <c r="A133" s="26" t="s">
        <v>182</v>
      </c>
      <c r="B133" s="26"/>
      <c r="C133" s="10"/>
    </row>
    <row r="134" spans="1:66" ht="15" customHeight="1" x14ac:dyDescent="0.25">
      <c r="A134" s="27" t="s">
        <v>39</v>
      </c>
      <c r="B134" s="27"/>
      <c r="C134" s="1"/>
    </row>
  </sheetData>
  <mergeCells count="39">
    <mergeCell ref="Z4:AA4"/>
    <mergeCell ref="B1:L1"/>
    <mergeCell ref="N1:N3"/>
    <mergeCell ref="B2:L2"/>
    <mergeCell ref="B3:L3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AX4:AY4"/>
    <mergeCell ref="AB4:AC4"/>
    <mergeCell ref="AD4:AE4"/>
    <mergeCell ref="AF4:AG4"/>
    <mergeCell ref="AH4:AI4"/>
    <mergeCell ref="AJ4:AK4"/>
    <mergeCell ref="AL4:AM4"/>
    <mergeCell ref="BL4:BM4"/>
    <mergeCell ref="BN4:BN5"/>
    <mergeCell ref="A132:BN132"/>
    <mergeCell ref="A133:B133"/>
    <mergeCell ref="A134:B134"/>
    <mergeCell ref="AZ4:BA4"/>
    <mergeCell ref="BB4:BC4"/>
    <mergeCell ref="BD4:BE4"/>
    <mergeCell ref="BF4:BG4"/>
    <mergeCell ref="BH4:BI4"/>
    <mergeCell ref="BJ4:BK4"/>
    <mergeCell ref="AN4:AO4"/>
    <mergeCell ref="AP4:AQ4"/>
    <mergeCell ref="AR4:AS4"/>
    <mergeCell ref="AT4:AU4"/>
    <mergeCell ref="AV4:AW4"/>
  </mergeCells>
  <pageMargins left="0" right="0.75" top="1" bottom="0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Opname Summary IDEAL</vt:lpstr>
      <vt:lpstr>REKAP GUDANG TRANSIT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Working</dc:creator>
  <cp:lastModifiedBy>itok toni</cp:lastModifiedBy>
  <dcterms:created xsi:type="dcterms:W3CDTF">2026-09-24T03:26:09Z</dcterms:created>
  <dcterms:modified xsi:type="dcterms:W3CDTF">2026-09-24T16:42:57Z</dcterms:modified>
</cp:coreProperties>
</file>